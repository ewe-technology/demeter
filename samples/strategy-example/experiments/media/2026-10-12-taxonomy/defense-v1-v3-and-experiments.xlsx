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版本說明" sheetId="1" state="visible" r:id="rId1"/>
    <sheet name="訊號線" sheetId="2" state="visible" r:id="rId2"/>
    <sheet name="F引擎" sheetId="3" state="visible" r:id="rId3"/>
    <sheet name="撤出停損" sheetId="4" state="visible" r:id="rId4"/>
    <sheet name="回補" sheetId="5" state="visible" r:id="rId5"/>
    <sheet name="重建時機" sheetId="6" state="visible" r:id="rId6"/>
    <sheet name="區間寬度形狀" sheetId="7" state="visible" r:id="rId7"/>
    <sheet name="ETH比例s" sheetId="8" state="visible" r:id="rId8"/>
    <sheet name="總經事件" sheetId="9" state="visible" r:id="rId9"/>
    <sheet name="費率分層組合" sheetId="10" state="visible" r:id="rId10"/>
    <sheet name="換匯路由" sheetId="11" state="visible" r:id="rId11"/>
    <sheet name="非LP本體" sheetId="12" state="visible" r:id="rId12"/>
    <sheet name="驗證移植" sheetId="13" state="visible" r:id="rId13"/>
  </sheets>
  <definedNames>
    <definedName name="_xlnm._FilterDatabase" localSheetId="1" hidden="1">'訊號線'!$A$1:$O$18</definedName>
    <definedName name="_xlnm._FilterDatabase" localSheetId="2" hidden="1">'F引擎'!$A$1:$O$22</definedName>
    <definedName name="_xlnm._FilterDatabase" localSheetId="3" hidden="1">'撤出停損'!$A$1:$O$13</definedName>
    <definedName name="_xlnm._FilterDatabase" localSheetId="4" hidden="1">'回補'!$A$1:$O$25</definedName>
    <definedName name="_xlnm._FilterDatabase" localSheetId="5" hidden="1">'重建時機'!$A$1:$O$16</definedName>
    <definedName name="_xlnm._FilterDatabase" localSheetId="6" hidden="1">'區間寬度形狀'!$A$1:$O$24</definedName>
    <definedName name="_xlnm._FilterDatabase" localSheetId="7" hidden="1">'ETH比例s'!$A$1:$O$3</definedName>
    <definedName name="_xlnm._FilterDatabase" localSheetId="8" hidden="1">'總經事件'!$A$1:$O$7</definedName>
    <definedName name="_xlnm._FilterDatabase" localSheetId="9" hidden="1">'費率分層組合'!$A$1:$O$36</definedName>
    <definedName name="_xlnm._FilterDatabase" localSheetId="10" hidden="1">'換匯路由'!$A$1:$O$4</definedName>
    <definedName name="_xlnm._FilterDatabase" localSheetId="11" hidden="1">'非LP本體'!$A$1:$O$13</definedName>
    <definedName name="_xlnm._FilterDatabase" localSheetId="12" hidden="1">'驗證移植'!$A$1:$O$5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0%;-0.0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sz val="12"/>
    </font>
    <font>
      <name val="Arial"/>
    </font>
    <font>
      <name val="Arial"/>
      <b val="1"/>
      <color rgb="00FFFFFF"/>
    </font>
    <font>
      <name val="Arial"/>
      <color rgb="000563C1"/>
      <u val="single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2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5338;&#34399;&#32218;'!A1" TargetMode="External" Id="rId1" /><Relationship Type="http://schemas.openxmlformats.org/officeDocument/2006/relationships/hyperlink" Target="#'F&#24341;&#25806;'!A1" TargetMode="External" Id="rId2" /><Relationship Type="http://schemas.openxmlformats.org/officeDocument/2006/relationships/hyperlink" Target="#'&#25764;&#20986;&#20572;&#25613;'!A1" TargetMode="External" Id="rId3" /><Relationship Type="http://schemas.openxmlformats.org/officeDocument/2006/relationships/hyperlink" Target="#'&#22238;&#35036;'!A1" TargetMode="External" Id="rId4" /><Relationship Type="http://schemas.openxmlformats.org/officeDocument/2006/relationships/hyperlink" Target="#'&#37325;&#24314;&#26178;&#27231;'!A1" TargetMode="External" Id="rId5" /><Relationship Type="http://schemas.openxmlformats.org/officeDocument/2006/relationships/hyperlink" Target="#'&#21312;&#38291;&#23532;&#24230;&#24418;&#29376;'!A1" TargetMode="External" Id="rId6" /><Relationship Type="http://schemas.openxmlformats.org/officeDocument/2006/relationships/hyperlink" Target="#'ETH&#27604;&#20363;s'!A1" TargetMode="External" Id="rId7" /><Relationship Type="http://schemas.openxmlformats.org/officeDocument/2006/relationships/hyperlink" Target="#'&#32317;&#32147;&#20107;&#20214;'!A1" TargetMode="External" Id="rId8" /><Relationship Type="http://schemas.openxmlformats.org/officeDocument/2006/relationships/hyperlink" Target="#'&#36027;&#29575;&#20998;&#23652;&#32068;&#21512;'!A1" TargetMode="External" Id="rId9" /><Relationship Type="http://schemas.openxmlformats.org/officeDocument/2006/relationships/hyperlink" Target="#'&#25563;&#21295;&#36335;&#30001;'!A1" TargetMode="External" Id="rId10" /><Relationship Type="http://schemas.openxmlformats.org/officeDocument/2006/relationships/hyperlink" Target="#'&#38750;LP&#26412;&#39636;'!A1" TargetMode="External" Id="rId11" /><Relationship Type="http://schemas.openxmlformats.org/officeDocument/2006/relationships/hyperlink" Target="#'&#39511;&#35657;&#31227;&#26893;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ewetechnology.atlassian.net/browse/QUAN-876" TargetMode="External" Id="rId1" /><Relationship Type="http://schemas.openxmlformats.org/officeDocument/2006/relationships/hyperlink" Target="https://ewetechnology.atlassian.net/browse/QUAN-877" TargetMode="External" Id="rId2" /><Relationship Type="http://schemas.openxmlformats.org/officeDocument/2006/relationships/hyperlink" Target="https://ewetechnology.atlassian.net/browse/QUAN-878" TargetMode="External" Id="rId3" /><Relationship Type="http://schemas.openxmlformats.org/officeDocument/2006/relationships/hyperlink" Target="https://ewetechnology.atlassian.net/browse/QUAN-879" TargetMode="External" Id="rId4" /><Relationship Type="http://schemas.openxmlformats.org/officeDocument/2006/relationships/hyperlink" Target="https://ewetechnology.atlassian.net/browse/QUAN-883" TargetMode="External" Id="rId5" /><Relationship Type="http://schemas.openxmlformats.org/officeDocument/2006/relationships/hyperlink" Target="https://ewetechnology.atlassian.net/browse/QUAN-884" TargetMode="External" Id="rId6" /><Relationship Type="http://schemas.openxmlformats.org/officeDocument/2006/relationships/hyperlink" Target="https://ewetechnology.atlassian.net/browse/QUAN-885" TargetMode="External" Id="rId7" /><Relationship Type="http://schemas.openxmlformats.org/officeDocument/2006/relationships/hyperlink" Target="https://ewetechnology.atlassian.net/browse/QUAN-887" TargetMode="External" Id="rId8" /><Relationship Type="http://schemas.openxmlformats.org/officeDocument/2006/relationships/hyperlink" Target="https://ewetechnology.atlassian.net/browse/QUAN-888" TargetMode="External" Id="rId9" /><Relationship Type="http://schemas.openxmlformats.org/officeDocument/2006/relationships/hyperlink" Target="https://ewetechnology.atlassian.net/browse/QUAN-889" TargetMode="External" Id="rId10" /><Relationship Type="http://schemas.openxmlformats.org/officeDocument/2006/relationships/hyperlink" Target="https://ewetechnology.atlassian.net/browse/QUAN-890" TargetMode="External" Id="rId11" /><Relationship Type="http://schemas.openxmlformats.org/officeDocument/2006/relationships/hyperlink" Target="https://ewetechnology.atlassian.net/browse/QUAN-891" TargetMode="External" Id="rId12" /><Relationship Type="http://schemas.openxmlformats.org/officeDocument/2006/relationships/hyperlink" Target="https://ewetechnology.atlassian.net/browse/QUAN-892" TargetMode="External" Id="rId13" /><Relationship Type="http://schemas.openxmlformats.org/officeDocument/2006/relationships/hyperlink" Target="https://ewetechnology.atlassian.net/browse/QUAN-893" TargetMode="External" Id="rId14" /><Relationship Type="http://schemas.openxmlformats.org/officeDocument/2006/relationships/hyperlink" Target="https://ewetechnology.atlassian.net/browse/QUAN-894" TargetMode="External" Id="rId15" /><Relationship Type="http://schemas.openxmlformats.org/officeDocument/2006/relationships/hyperlink" Target="https://ewetechnology.atlassian.net/browse/QUAN-895" TargetMode="External" Id="rId16" /><Relationship Type="http://schemas.openxmlformats.org/officeDocument/2006/relationships/hyperlink" Target="https://ewetechnology.atlassian.net/browse/QUAN-902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ewetechnology.atlassian.net/browse/QUAN-856" TargetMode="External" Id="rId1" /><Relationship Type="http://schemas.openxmlformats.org/officeDocument/2006/relationships/hyperlink" Target="https://ewetechnology.atlassian.net/browse/QUAN-873" TargetMode="External" Id="rId2" /><Relationship Type="http://schemas.openxmlformats.org/officeDocument/2006/relationships/hyperlink" Target="https://ewetechnology.atlassian.net/browse/QUAN-880" TargetMode="External" Id="rId3" /><Relationship Type="http://schemas.openxmlformats.org/officeDocument/2006/relationships/hyperlink" Target="https://ewetechnology.atlassian.net/browse/QUAN-897" TargetMode="External" Id="rId4" /><Relationship Type="http://schemas.openxmlformats.org/officeDocument/2006/relationships/hyperlink" Target="https://ewetechnology.atlassian.net/browse/QUAN-899" TargetMode="External" Id="rId5" /><Relationship Type="http://schemas.openxmlformats.org/officeDocument/2006/relationships/hyperlink" Target="https://ewetechnology.atlassian.net/browse/QUAN-934" TargetMode="External" Id="rId6" /><Relationship Type="http://schemas.openxmlformats.org/officeDocument/2006/relationships/hyperlink" Target="https://ewetechnology.atlassian.net/browse/QUAN-935" TargetMode="External" Id="rId7" /><Relationship Type="http://schemas.openxmlformats.org/officeDocument/2006/relationships/hyperlink" Target="https://ewetechnology.atlassian.net/browse/QUAN-946" TargetMode="External" Id="rId8" /><Relationship Type="http://schemas.openxmlformats.org/officeDocument/2006/relationships/hyperlink" Target="https://ewetechnology.atlassian.net/browse/QUAN-949" TargetMode="External" Id="rId9" /><Relationship Type="http://schemas.openxmlformats.org/officeDocument/2006/relationships/hyperlink" Target="https://ewetechnology.atlassian.net/browse/QUAN-950" TargetMode="External" Id="rId10" /><Relationship Type="http://schemas.openxmlformats.org/officeDocument/2006/relationships/hyperlink" Target="https://ewetechnology.atlassian.net/browse/QUAN-952" TargetMode="External" Id="rId11" /><Relationship Type="http://schemas.openxmlformats.org/officeDocument/2006/relationships/hyperlink" Target="https://ewetechnology.atlassian.net/browse/QUAN-959" TargetMode="External" Id="rId12" /><Relationship Type="http://schemas.openxmlformats.org/officeDocument/2006/relationships/hyperlink" Target="https://ewetechnology.atlassian.net/browse/QUAN-960" TargetMode="External" Id="rId13" /><Relationship Type="http://schemas.openxmlformats.org/officeDocument/2006/relationships/hyperlink" Target="https://ewetechnology.atlassian.net/browse/QUAN-961" TargetMode="External" Id="rId14" /><Relationship Type="http://schemas.openxmlformats.org/officeDocument/2006/relationships/hyperlink" Target="https://ewetechnology.atlassian.net/browse/QUAN-962" TargetMode="External" Id="rId15" /><Relationship Type="http://schemas.openxmlformats.org/officeDocument/2006/relationships/hyperlink" Target="https://ewetechnology.atlassian.net/browse/QUAN-963" TargetMode="External" Id="rId16" /><Relationship Type="http://schemas.openxmlformats.org/officeDocument/2006/relationships/hyperlink" Target="https://ewetechnology.atlassian.net/browse/QUAN-964" TargetMode="External" Id="rId17" /><Relationship Type="http://schemas.openxmlformats.org/officeDocument/2006/relationships/hyperlink" Target="https://ewetechnology.atlassian.net/browse/QUAN-969" TargetMode="External" Id="rId18" /><Relationship Type="http://schemas.openxmlformats.org/officeDocument/2006/relationships/hyperlink" Target="https://ewetechnology.atlassian.net/browse/QUAN-973" TargetMode="External" Id="rId19" /><Relationship Type="http://schemas.openxmlformats.org/officeDocument/2006/relationships/hyperlink" Target="https://ewetechnology.atlassian.net/browse/QUAN-975" TargetMode="External" Id="rId20" /><Relationship Type="http://schemas.openxmlformats.org/officeDocument/2006/relationships/hyperlink" Target="https://ewetechnology.atlassian.net/browse/QUAN-989" TargetMode="External" Id="rId21" /></Relationships>
</file>

<file path=xl/worksheets/_rels/sheet4.xml.rels><Relationships xmlns="http://schemas.openxmlformats.org/package/2006/relationships"><Relationship Type="http://schemas.openxmlformats.org/officeDocument/2006/relationships/hyperlink" Target="https://ewetechnology.atlassian.net/browse/QUAN-862" TargetMode="External" Id="rId1" /><Relationship Type="http://schemas.openxmlformats.org/officeDocument/2006/relationships/hyperlink" Target="https://ewetechnology.atlassian.net/browse/QUAN-863" TargetMode="External" Id="rId2" /><Relationship Type="http://schemas.openxmlformats.org/officeDocument/2006/relationships/hyperlink" Target="https://ewetechnology.atlassian.net/browse/QUAN-896" TargetMode="External" Id="rId3" /><Relationship Type="http://schemas.openxmlformats.org/officeDocument/2006/relationships/hyperlink" Target="https://ewetechnology.atlassian.net/browse/QUAN-900" TargetMode="External" Id="rId4" /><Relationship Type="http://schemas.openxmlformats.org/officeDocument/2006/relationships/hyperlink" Target="https://ewetechnology.atlassian.net/browse/QUAN-938" TargetMode="External" Id="rId5" /><Relationship Type="http://schemas.openxmlformats.org/officeDocument/2006/relationships/hyperlink" Target="https://ewetechnology.atlassian.net/browse/QUAN-948" TargetMode="External" Id="rId6" /><Relationship Type="http://schemas.openxmlformats.org/officeDocument/2006/relationships/hyperlink" Target="https://ewetechnology.atlassian.net/browse/QUAN-979" TargetMode="External" Id="rId7" /><Relationship Type="http://schemas.openxmlformats.org/officeDocument/2006/relationships/hyperlink" Target="https://ewetechnology.atlassian.net/browse/QUAN-981" TargetMode="External" Id="rId8" /><Relationship Type="http://schemas.openxmlformats.org/officeDocument/2006/relationships/hyperlink" Target="https://ewetechnology.atlassian.net/browse/QUAN-985" TargetMode="External" Id="rId9" /><Relationship Type="http://schemas.openxmlformats.org/officeDocument/2006/relationships/hyperlink" Target="https://ewetechnology.atlassian.net/browse/QUAN-990" TargetMode="External" Id="rId10" /><Relationship Type="http://schemas.openxmlformats.org/officeDocument/2006/relationships/hyperlink" Target="https://ewetechnology.atlassian.net/browse/QUAN-1048" TargetMode="External" Id="rId11" /><Relationship Type="http://schemas.openxmlformats.org/officeDocument/2006/relationships/hyperlink" Target="https://ewetechnology.atlassian.net/browse/QUAN-1049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ewetechnology.atlassian.net/browse/QUAN-839" TargetMode="External" Id="rId1" /><Relationship Type="http://schemas.openxmlformats.org/officeDocument/2006/relationships/hyperlink" Target="https://ewetechnology.atlassian.net/browse/QUAN-966" TargetMode="External" Id="rId2" /><Relationship Type="http://schemas.openxmlformats.org/officeDocument/2006/relationships/hyperlink" Target="https://ewetechnology.atlassian.net/browse/QUAN-967" TargetMode="External" Id="rId3" /><Relationship Type="http://schemas.openxmlformats.org/officeDocument/2006/relationships/hyperlink" Target="https://ewetechnology.atlassian.net/browse/QUAN-968" TargetMode="External" Id="rId4" /><Relationship Type="http://schemas.openxmlformats.org/officeDocument/2006/relationships/hyperlink" Target="https://ewetechnology.atlassian.net/browse/QUAN-970" TargetMode="External" Id="rId5" /><Relationship Type="http://schemas.openxmlformats.org/officeDocument/2006/relationships/hyperlink" Target="https://ewetechnology.atlassian.net/browse/QUAN-971" TargetMode="External" Id="rId6" /><Relationship Type="http://schemas.openxmlformats.org/officeDocument/2006/relationships/hyperlink" Target="https://ewetechnology.atlassian.net/browse/QUAN-972" TargetMode="External" Id="rId7" /><Relationship Type="http://schemas.openxmlformats.org/officeDocument/2006/relationships/hyperlink" Target="https://ewetechnology.atlassian.net/browse/QUAN-974" TargetMode="External" Id="rId8" /><Relationship Type="http://schemas.openxmlformats.org/officeDocument/2006/relationships/hyperlink" Target="https://ewetechnology.atlassian.net/browse/QUAN-976" TargetMode="External" Id="rId9" /><Relationship Type="http://schemas.openxmlformats.org/officeDocument/2006/relationships/hyperlink" Target="https://ewetechnology.atlassian.net/browse/QUAN-977" TargetMode="External" Id="rId10" /><Relationship Type="http://schemas.openxmlformats.org/officeDocument/2006/relationships/hyperlink" Target="https://ewetechnology.atlassian.net/browse/QUAN-978" TargetMode="External" Id="rId11" /><Relationship Type="http://schemas.openxmlformats.org/officeDocument/2006/relationships/hyperlink" Target="https://ewetechnology.atlassian.net/browse/QUAN-980" TargetMode="External" Id="rId12" /><Relationship Type="http://schemas.openxmlformats.org/officeDocument/2006/relationships/hyperlink" Target="https://ewetechnology.atlassian.net/browse/QUAN-982" TargetMode="External" Id="rId13" /><Relationship Type="http://schemas.openxmlformats.org/officeDocument/2006/relationships/hyperlink" Target="https://ewetechnology.atlassian.net/browse/QUAN-983" TargetMode="External" Id="rId14" /><Relationship Type="http://schemas.openxmlformats.org/officeDocument/2006/relationships/hyperlink" Target="https://ewetechnology.atlassian.net/browse/QUAN-984" TargetMode="External" Id="rId15" /><Relationship Type="http://schemas.openxmlformats.org/officeDocument/2006/relationships/hyperlink" Target="https://ewetechnology.atlassian.net/browse/QUAN-991" TargetMode="External" Id="rId16" /><Relationship Type="http://schemas.openxmlformats.org/officeDocument/2006/relationships/hyperlink" Target="https://ewetechnology.atlassian.net/browse/QUAN-992" TargetMode="External" Id="rId17" /><Relationship Type="http://schemas.openxmlformats.org/officeDocument/2006/relationships/hyperlink" Target="https://ewetechnology.atlassian.net/browse/QUAN-993" TargetMode="External" Id="rId18" /><Relationship Type="http://schemas.openxmlformats.org/officeDocument/2006/relationships/hyperlink" Target="https://ewetechnology.atlassian.net/browse/QUAN-1029" TargetMode="External" Id="rId19" /><Relationship Type="http://schemas.openxmlformats.org/officeDocument/2006/relationships/hyperlink" Target="https://ewetechnology.atlassian.net/browse/QUAN-1030" TargetMode="External" Id="rId20" /><Relationship Type="http://schemas.openxmlformats.org/officeDocument/2006/relationships/hyperlink" Target="https://ewetechnology.atlassian.net/browse/QUAN-1033" TargetMode="External" Id="rId21" /><Relationship Type="http://schemas.openxmlformats.org/officeDocument/2006/relationships/hyperlink" Target="https://ewetechnology.atlassian.net/browse/QUAN-1037" TargetMode="External" Id="rId22" /><Relationship Type="http://schemas.openxmlformats.org/officeDocument/2006/relationships/hyperlink" Target="https://ewetechnology.atlassian.net/browse/QUAN-1044" TargetMode="External" Id="rId23" /><Relationship Type="http://schemas.openxmlformats.org/officeDocument/2006/relationships/hyperlink" Target="https://ewetechnology.atlassian.net/browse/QUAN-1045" TargetMode="External" Id="rId24" /></Relationships>
</file>

<file path=xl/worksheets/_rels/sheet6.xml.rels><Relationships xmlns="http://schemas.openxmlformats.org/package/2006/relationships"><Relationship Type="http://schemas.openxmlformats.org/officeDocument/2006/relationships/hyperlink" Target="https://ewetechnology.atlassian.net/browse/QUAN-874" TargetMode="External" Id="rId1" /><Relationship Type="http://schemas.openxmlformats.org/officeDocument/2006/relationships/hyperlink" Target="https://ewetechnology.atlassian.net/browse/QUAN-937" TargetMode="External" Id="rId2" /><Relationship Type="http://schemas.openxmlformats.org/officeDocument/2006/relationships/hyperlink" Target="https://ewetechnology.atlassian.net/browse/QUAN-939" TargetMode="External" Id="rId3" /><Relationship Type="http://schemas.openxmlformats.org/officeDocument/2006/relationships/hyperlink" Target="https://ewetechnology.atlassian.net/browse/QUAN-940" TargetMode="External" Id="rId4" /><Relationship Type="http://schemas.openxmlformats.org/officeDocument/2006/relationships/hyperlink" Target="https://ewetechnology.atlassian.net/browse/QUAN-943" TargetMode="External" Id="rId5" /><Relationship Type="http://schemas.openxmlformats.org/officeDocument/2006/relationships/hyperlink" Target="https://ewetechnology.atlassian.net/browse/QUAN-944" TargetMode="External" Id="rId6" /><Relationship Type="http://schemas.openxmlformats.org/officeDocument/2006/relationships/hyperlink" Target="https://ewetechnology.atlassian.net/browse/QUAN-947" TargetMode="External" Id="rId7" /><Relationship Type="http://schemas.openxmlformats.org/officeDocument/2006/relationships/hyperlink" Target="https://ewetechnology.atlassian.net/browse/QUAN-953" TargetMode="External" Id="rId8" /><Relationship Type="http://schemas.openxmlformats.org/officeDocument/2006/relationships/hyperlink" Target="https://ewetechnology.atlassian.net/browse/QUAN-954" TargetMode="External" Id="rId9" /><Relationship Type="http://schemas.openxmlformats.org/officeDocument/2006/relationships/hyperlink" Target="https://ewetechnology.atlassian.net/browse/QUAN-955" TargetMode="External" Id="rId10" /><Relationship Type="http://schemas.openxmlformats.org/officeDocument/2006/relationships/hyperlink" Target="https://ewetechnology.atlassian.net/browse/QUAN-957" TargetMode="External" Id="rId11" /><Relationship Type="http://schemas.openxmlformats.org/officeDocument/2006/relationships/hyperlink" Target="https://ewetechnology.atlassian.net/browse/QUAN-958" TargetMode="External" Id="rId12" /><Relationship Type="http://schemas.openxmlformats.org/officeDocument/2006/relationships/hyperlink" Target="https://ewetechnology.atlassian.net/browse/QUAN-1020" TargetMode="External" Id="rId13" /><Relationship Type="http://schemas.openxmlformats.org/officeDocument/2006/relationships/hyperlink" Target="https://ewetechnology.atlassian.net/browse/QUAN-1021" TargetMode="External" Id="rId14" /><Relationship Type="http://schemas.openxmlformats.org/officeDocument/2006/relationships/hyperlink" Target="https://ewetechnology.atlassian.net/browse/QUAN-1027" TargetMode="External" Id="rId15" /></Relationships>
</file>

<file path=xl/worksheets/_rels/sheet7.xml.rels><Relationships xmlns="http://schemas.openxmlformats.org/package/2006/relationships"><Relationship Type="http://schemas.openxmlformats.org/officeDocument/2006/relationships/hyperlink" Target="https://ewetechnology.atlassian.net/browse/QUAN-840" TargetMode="External" Id="rId1" /><Relationship Type="http://schemas.openxmlformats.org/officeDocument/2006/relationships/hyperlink" Target="https://ewetechnology.atlassian.net/browse/QUAN-841" TargetMode="External" Id="rId2" /><Relationship Type="http://schemas.openxmlformats.org/officeDocument/2006/relationships/hyperlink" Target="https://ewetechnology.atlassian.net/browse/QUAN-845" TargetMode="External" Id="rId3" /><Relationship Type="http://schemas.openxmlformats.org/officeDocument/2006/relationships/hyperlink" Target="https://ewetechnology.atlassian.net/browse/QUAN-858" TargetMode="External" Id="rId4" /><Relationship Type="http://schemas.openxmlformats.org/officeDocument/2006/relationships/hyperlink" Target="https://ewetechnology.atlassian.net/browse/QUAN-882" TargetMode="External" Id="rId5" /><Relationship Type="http://schemas.openxmlformats.org/officeDocument/2006/relationships/hyperlink" Target="https://ewetechnology.atlassian.net/browse/QUAN-886" TargetMode="External" Id="rId6" /><Relationship Type="http://schemas.openxmlformats.org/officeDocument/2006/relationships/hyperlink" Target="https://ewetechnology.atlassian.net/browse/QUAN-901" TargetMode="External" Id="rId7" /><Relationship Type="http://schemas.openxmlformats.org/officeDocument/2006/relationships/hyperlink" Target="https://ewetechnology.atlassian.net/browse/QUAN-903" TargetMode="External" Id="rId8" /><Relationship Type="http://schemas.openxmlformats.org/officeDocument/2006/relationships/hyperlink" Target="https://ewetechnology.atlassian.net/browse/QUAN-945" TargetMode="External" Id="rId9" /><Relationship Type="http://schemas.openxmlformats.org/officeDocument/2006/relationships/hyperlink" Target="https://ewetechnology.atlassian.net/browse/QUAN-956" TargetMode="External" Id="rId10" /><Relationship Type="http://schemas.openxmlformats.org/officeDocument/2006/relationships/hyperlink" Target="https://ewetechnology.atlassian.net/browse/QUAN-1038" TargetMode="External" Id="rId11" /><Relationship Type="http://schemas.openxmlformats.org/officeDocument/2006/relationships/hyperlink" Target="https://ewetechnology.atlassian.net/browse/QUAN-1039" TargetMode="External" Id="rId12" /><Relationship Type="http://schemas.openxmlformats.org/officeDocument/2006/relationships/hyperlink" Target="https://ewetechnology.atlassian.net/browse/QUAN-1051" TargetMode="External" Id="rId13" /><Relationship Type="http://schemas.openxmlformats.org/officeDocument/2006/relationships/hyperlink" Target="https://ewetechnology.atlassian.net/browse/QUAN-1071" TargetMode="External" Id="rId14" /><Relationship Type="http://schemas.openxmlformats.org/officeDocument/2006/relationships/hyperlink" Target="https://ewetechnology.atlassian.net/browse/QUAN-1072" TargetMode="External" Id="rId15" /><Relationship Type="http://schemas.openxmlformats.org/officeDocument/2006/relationships/hyperlink" Target="https://ewetechnology.atlassian.net/browse/QUAN-1073" TargetMode="External" Id="rId16" /><Relationship Type="http://schemas.openxmlformats.org/officeDocument/2006/relationships/hyperlink" Target="https://ewetechnology.atlassian.net/browse/QUAN-1074" TargetMode="External" Id="rId17" /><Relationship Type="http://schemas.openxmlformats.org/officeDocument/2006/relationships/hyperlink" Target="https://ewetechnology.atlassian.net/browse/QUAN-1075" TargetMode="External" Id="rId18" /><Relationship Type="http://schemas.openxmlformats.org/officeDocument/2006/relationships/hyperlink" Target="https://ewetechnology.atlassian.net/browse/QUAN-1076" TargetMode="External" Id="rId19" /><Relationship Type="http://schemas.openxmlformats.org/officeDocument/2006/relationships/hyperlink" Target="https://ewetechnology.atlassian.net/browse/QUAN-1077" TargetMode="External" Id="rId20" /><Relationship Type="http://schemas.openxmlformats.org/officeDocument/2006/relationships/hyperlink" Target="https://ewetechnology.atlassian.net/browse/QUAN-1078" TargetMode="External" Id="rId21" /><Relationship Type="http://schemas.openxmlformats.org/officeDocument/2006/relationships/hyperlink" Target="https://ewetechnology.atlassian.net/browse/QUAN-1079" TargetMode="External" Id="rId22" /><Relationship Type="http://schemas.openxmlformats.org/officeDocument/2006/relationships/hyperlink" Target="https://ewetechnology.atlassian.net/browse/QUAN-1080" TargetMode="External" Id="rId23" /></Relationships>
</file>

<file path=xl/worksheets/_rels/sheet8.xml.rels><Relationships xmlns="http://schemas.openxmlformats.org/package/2006/relationships"><Relationship Type="http://schemas.openxmlformats.org/officeDocument/2006/relationships/hyperlink" Target="https://ewetechnology.atlassian.net/browse/QUAN-881" TargetMode="External" Id="rId1" /><Relationship Type="http://schemas.openxmlformats.org/officeDocument/2006/relationships/hyperlink" Target="https://ewetechnology.atlassian.net/browse/QUAN-898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ewetechnology.atlassian.net/browse/QUAN-941" TargetMode="External" Id="rId1" /><Relationship Type="http://schemas.openxmlformats.org/officeDocument/2006/relationships/hyperlink" Target="https://ewetechnology.atlassian.net/browse/QUAN-942" TargetMode="External" Id="rId2" /><Relationship Type="http://schemas.openxmlformats.org/officeDocument/2006/relationships/hyperlink" Target="https://ewetechnology.atlassian.net/browse/QUAN-1007" TargetMode="External" Id="rId3" /><Relationship Type="http://schemas.openxmlformats.org/officeDocument/2006/relationships/hyperlink" Target="https://ewetechnology.atlassian.net/browse/QUAN-1011" TargetMode="External" Id="rId4" /><Relationship Type="http://schemas.openxmlformats.org/officeDocument/2006/relationships/hyperlink" Target="https://ewetechnology.atlassian.net/browse/QUAN-1046" TargetMode="External" Id="rId5" /><Relationship Type="http://schemas.openxmlformats.org/officeDocument/2006/relationships/hyperlink" Target="https://ewetechnology.atlassian.net/browse/QUAN-1047" TargetMode="Externa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ewetechnology.atlassian.net/browse/QUAN-986" TargetMode="External" Id="rId1" /><Relationship Type="http://schemas.openxmlformats.org/officeDocument/2006/relationships/hyperlink" Target="https://ewetechnology.atlassian.net/browse/QUAN-987" TargetMode="External" Id="rId2" /><Relationship Type="http://schemas.openxmlformats.org/officeDocument/2006/relationships/hyperlink" Target="https://ewetechnology.atlassian.net/browse/QUAN-988" TargetMode="External" Id="rId3" /><Relationship Type="http://schemas.openxmlformats.org/officeDocument/2006/relationships/hyperlink" Target="https://ewetechnology.atlassian.net/browse/QUAN-994" TargetMode="External" Id="rId4" /><Relationship Type="http://schemas.openxmlformats.org/officeDocument/2006/relationships/hyperlink" Target="https://ewetechnology.atlassian.net/browse/QUAN-995" TargetMode="External" Id="rId5" /><Relationship Type="http://schemas.openxmlformats.org/officeDocument/2006/relationships/hyperlink" Target="https://ewetechnology.atlassian.net/browse/QUAN-997" TargetMode="External" Id="rId6" /><Relationship Type="http://schemas.openxmlformats.org/officeDocument/2006/relationships/hyperlink" Target="https://ewetechnology.atlassian.net/browse/QUAN-998" TargetMode="External" Id="rId7" /><Relationship Type="http://schemas.openxmlformats.org/officeDocument/2006/relationships/hyperlink" Target="https://ewetechnology.atlassian.net/browse/QUAN-999" TargetMode="External" Id="rId8" /><Relationship Type="http://schemas.openxmlformats.org/officeDocument/2006/relationships/hyperlink" Target="https://ewetechnology.atlassian.net/browse/QUAN-1000" TargetMode="External" Id="rId9" /><Relationship Type="http://schemas.openxmlformats.org/officeDocument/2006/relationships/hyperlink" Target="https://ewetechnology.atlassian.net/browse/QUAN-1001" TargetMode="External" Id="rId10" /><Relationship Type="http://schemas.openxmlformats.org/officeDocument/2006/relationships/hyperlink" Target="https://ewetechnology.atlassian.net/browse/QUAN-1003" TargetMode="External" Id="rId11" /><Relationship Type="http://schemas.openxmlformats.org/officeDocument/2006/relationships/hyperlink" Target="https://ewetechnology.atlassian.net/browse/QUAN-1004" TargetMode="External" Id="rId12" /><Relationship Type="http://schemas.openxmlformats.org/officeDocument/2006/relationships/hyperlink" Target="https://ewetechnology.atlassian.net/browse/QUAN-1005" TargetMode="External" Id="rId13" /><Relationship Type="http://schemas.openxmlformats.org/officeDocument/2006/relationships/hyperlink" Target="https://ewetechnology.atlassian.net/browse/QUAN-1006" TargetMode="External" Id="rId14" /><Relationship Type="http://schemas.openxmlformats.org/officeDocument/2006/relationships/hyperlink" Target="https://ewetechnology.atlassian.net/browse/QUAN-1009" TargetMode="External" Id="rId15" /><Relationship Type="http://schemas.openxmlformats.org/officeDocument/2006/relationships/hyperlink" Target="https://ewetechnology.atlassian.net/browse/QUAN-1010" TargetMode="External" Id="rId16" /><Relationship Type="http://schemas.openxmlformats.org/officeDocument/2006/relationships/hyperlink" Target="https://ewetechnology.atlassian.net/browse/QUAN-1012" TargetMode="External" Id="rId17" /><Relationship Type="http://schemas.openxmlformats.org/officeDocument/2006/relationships/hyperlink" Target="https://ewetechnology.atlassian.net/browse/QUAN-1014" TargetMode="External" Id="rId18" /><Relationship Type="http://schemas.openxmlformats.org/officeDocument/2006/relationships/hyperlink" Target="https://ewetechnology.atlassian.net/browse/QUAN-1015" TargetMode="External" Id="rId19" /><Relationship Type="http://schemas.openxmlformats.org/officeDocument/2006/relationships/hyperlink" Target="https://ewetechnology.atlassian.net/browse/QUAN-1016" TargetMode="External" Id="rId20" /><Relationship Type="http://schemas.openxmlformats.org/officeDocument/2006/relationships/hyperlink" Target="https://ewetechnology.atlassian.net/browse/QUAN-1017" TargetMode="External" Id="rId21" /><Relationship Type="http://schemas.openxmlformats.org/officeDocument/2006/relationships/hyperlink" Target="https://ewetechnology.atlassian.net/browse/QUAN-1019" TargetMode="External" Id="rId22" /><Relationship Type="http://schemas.openxmlformats.org/officeDocument/2006/relationships/hyperlink" Target="https://ewetechnology.atlassian.net/browse/QUAN-1023" TargetMode="External" Id="rId23" /><Relationship Type="http://schemas.openxmlformats.org/officeDocument/2006/relationships/hyperlink" Target="https://ewetechnology.atlassian.net/browse/QUAN-1022" TargetMode="External" Id="rId24" /><Relationship Type="http://schemas.openxmlformats.org/officeDocument/2006/relationships/hyperlink" Target="https://ewetechnology.atlassian.net/browse/QUAN-1024" TargetMode="External" Id="rId25" /><Relationship Type="http://schemas.openxmlformats.org/officeDocument/2006/relationships/hyperlink" Target="https://ewetechnology.atlassian.net/browse/QUAN-1025" TargetMode="External" Id="rId26" /><Relationship Type="http://schemas.openxmlformats.org/officeDocument/2006/relationships/hyperlink" Target="https://ewetechnology.atlassian.net/browse/QUAN-1026" TargetMode="External" Id="rId27" /><Relationship Type="http://schemas.openxmlformats.org/officeDocument/2006/relationships/hyperlink" Target="https://ewetechnology.atlassian.net/browse/QUAN-1028" TargetMode="External" Id="rId28" /><Relationship Type="http://schemas.openxmlformats.org/officeDocument/2006/relationships/hyperlink" Target="https://ewetechnology.atlassian.net/browse/QUAN-1031" TargetMode="External" Id="rId29" /><Relationship Type="http://schemas.openxmlformats.org/officeDocument/2006/relationships/hyperlink" Target="https://ewetechnology.atlassian.net/browse/QUAN-1032" TargetMode="External" Id="rId30" /><Relationship Type="http://schemas.openxmlformats.org/officeDocument/2006/relationships/hyperlink" Target="https://ewetechnology.atlassian.net/browse/QUAN-1034" TargetMode="External" Id="rId31" /><Relationship Type="http://schemas.openxmlformats.org/officeDocument/2006/relationships/hyperlink" Target="https://ewetechnology.atlassian.net/browse/QUAN-1035" TargetMode="External" Id="rId32" /><Relationship Type="http://schemas.openxmlformats.org/officeDocument/2006/relationships/hyperlink" Target="https://ewetechnology.atlassian.net/browse/QUAN-1036" TargetMode="External" Id="rId33" /><Relationship Type="http://schemas.openxmlformats.org/officeDocument/2006/relationships/hyperlink" Target="https://ewetechnology.atlassian.net/browse/QUAN-1050" TargetMode="External" Id="rId34" /><Relationship Type="http://schemas.openxmlformats.org/officeDocument/2006/relationships/hyperlink" Target="https://ewetechnology.atlassian.net/browse/QUAN-1081" TargetMode="External" Id="rId35" /></Relationships>
</file>

<file path=xl/worksheets/_rels/sheet11.xml.rels><Relationships xmlns="http://schemas.openxmlformats.org/package/2006/relationships"><Relationship Type="http://schemas.openxmlformats.org/officeDocument/2006/relationships/hyperlink" Target="https://ewetechnology.atlassian.net/browse/QUAN-1002" TargetMode="External" Id="rId1" /><Relationship Type="http://schemas.openxmlformats.org/officeDocument/2006/relationships/hyperlink" Target="https://ewetechnology.atlassian.net/browse/QUAN-1008" TargetMode="External" Id="rId2" /><Relationship Type="http://schemas.openxmlformats.org/officeDocument/2006/relationships/hyperlink" Target="https://ewetechnology.atlassian.net/browse/QUAN-1013" TargetMode="External" Id="rId3" /></Relationships>
</file>

<file path=xl/worksheets/_rels/sheet12.xml.rels><Relationships xmlns="http://schemas.openxmlformats.org/package/2006/relationships"><Relationship Type="http://schemas.openxmlformats.org/officeDocument/2006/relationships/hyperlink" Target="https://ewetechnology.atlassian.net/browse/QUAN-835" TargetMode="External" Id="rId1" /><Relationship Type="http://schemas.openxmlformats.org/officeDocument/2006/relationships/hyperlink" Target="https://ewetechnology.atlassian.net/browse/QUAN-836" TargetMode="External" Id="rId2" /><Relationship Type="http://schemas.openxmlformats.org/officeDocument/2006/relationships/hyperlink" Target="https://ewetechnology.atlassian.net/browse/QUAN-837" TargetMode="External" Id="rId3" /><Relationship Type="http://schemas.openxmlformats.org/officeDocument/2006/relationships/hyperlink" Target="https://ewetechnology.atlassian.net/browse/QUAN-838" TargetMode="External" Id="rId4" /><Relationship Type="http://schemas.openxmlformats.org/officeDocument/2006/relationships/hyperlink" Target="https://ewetechnology.atlassian.net/browse/QUAN-844" TargetMode="External" Id="rId5" /><Relationship Type="http://schemas.openxmlformats.org/officeDocument/2006/relationships/hyperlink" Target="https://ewetechnology.atlassian.net/browse/QUAN-860" TargetMode="External" Id="rId6" /><Relationship Type="http://schemas.openxmlformats.org/officeDocument/2006/relationships/hyperlink" Target="https://ewetechnology.atlassian.net/browse/QUAN-865" TargetMode="External" Id="rId7" /><Relationship Type="http://schemas.openxmlformats.org/officeDocument/2006/relationships/hyperlink" Target="https://ewetechnology.atlassian.net/browse/QUAN-866" TargetMode="External" Id="rId8" /><Relationship Type="http://schemas.openxmlformats.org/officeDocument/2006/relationships/hyperlink" Target="https://ewetechnology.atlassian.net/browse/QUAN-871" TargetMode="External" Id="rId9" /><Relationship Type="http://schemas.openxmlformats.org/officeDocument/2006/relationships/hyperlink" Target="https://ewetechnology.atlassian.net/browse/QUAN-872" TargetMode="External" Id="rId10" /><Relationship Type="http://schemas.openxmlformats.org/officeDocument/2006/relationships/hyperlink" Target="https://ewetechnology.atlassian.net/browse/QUAN-933" TargetMode="External" Id="rId11" /><Relationship Type="http://schemas.openxmlformats.org/officeDocument/2006/relationships/hyperlink" Target="https://ewetechnology.atlassian.net/browse/QUAN-1018" TargetMode="External" Id="rId12" /></Relationships>
</file>

<file path=xl/worksheets/_rels/sheet13.xml.rels><Relationships xmlns="http://schemas.openxmlformats.org/package/2006/relationships"><Relationship Type="http://schemas.openxmlformats.org/officeDocument/2006/relationships/hyperlink" Target="https://ewetechnology.atlassian.net/browse/QUAN-842" TargetMode="External" Id="rId1" /><Relationship Type="http://schemas.openxmlformats.org/officeDocument/2006/relationships/hyperlink" Target="https://ewetechnology.atlassian.net/browse/QUAN-859" TargetMode="External" Id="rId2" /><Relationship Type="http://schemas.openxmlformats.org/officeDocument/2006/relationships/hyperlink" Target="https://ewetechnology.atlassian.net/browse/QUAN-861" TargetMode="External" Id="rId3" /><Relationship Type="http://schemas.openxmlformats.org/officeDocument/2006/relationships/hyperlink" Target="https://ewetechnology.atlassian.net/browse/QUAN-104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Defense v1 / v2 / v3 與實驗分類（QUAN-1107 / QUAN-1108）</t>
        </is>
      </c>
    </row>
    <row r="2">
      <c r="A2" s="2" t="inlineStr">
        <is>
          <t>整理日 2026-10-12。數字來源寫在每張表下方；同一張表內的數字口徑相同，不同表之間不可直接比較。</t>
        </is>
      </c>
    </row>
    <row r="4">
      <c r="A4" s="3" t="inlineStr">
        <is>
          <t>1. 共同邏輯（三版都一樣）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池子：ETH/USDC，谷型 LP（inverted gaussian），中心 ±20%，16 段。</t>
        </is>
      </c>
    </row>
    <row r="6">
      <c r="A6" s="5" t="inlineStr">
        <is>
          <t>訊號：Binance ETHUSDT 日收盤，EMA 90/100/110/120 四個虛擬帳戶，各自撤出與分 4 階段回補；部署比例 F = 四帳戶平均。</t>
        </is>
      </c>
    </row>
    <row r="7">
      <c r="A7" s="5" t="inlineStr">
        <is>
          <t>ETH 比例 s：收盤 &gt; EMA100 時 70%，否則 50%。跌破下緣（−20%）撤出，突破上緣（+20%）重建。</t>
        </is>
      </c>
    </row>
    <row r="8">
      <c r="A8" s="5" t="inlineStr">
        <is>
          <t>三版的差別只在下表的增改規則，所以屬於同一類策略。</t>
        </is>
      </c>
    </row>
    <row r="10">
      <c r="A10" s="3" t="inlineStr">
        <is>
          <t>2. 版本差異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6" t="inlineStr">
        <is>
          <t>版本</t>
        </is>
      </c>
      <c r="B11" s="6" t="inlineStr">
        <is>
          <t>相對前一版的改動</t>
        </is>
      </c>
      <c r="C11" s="6" t="inlineStr">
        <is>
          <t>規格書</t>
        </is>
      </c>
      <c r="D11" s="6" t="inlineStr">
        <is>
          <t>程式</t>
        </is>
      </c>
      <c r="E11" s="6" t="inlineStr">
        <is>
          <t>程式位置</t>
        </is>
      </c>
      <c r="F11" s="6" t="inlineStr"/>
      <c r="G11" s="6" t="inlineStr"/>
      <c r="H11" s="6" t="inlineStr">
        <is>
          <t>備註</t>
        </is>
      </c>
    </row>
    <row r="12">
      <c r="A12" s="7" t="inlineStr">
        <is>
          <t>v1</t>
        </is>
      </c>
      <c r="B12" s="7" t="inlineStr">
        <is>
          <t>規格書基準版。8+8 段、每段價格等寬 2.5%、規格書權重、swap 成本平價 0.1%。</t>
        </is>
      </c>
      <c r="C12" s="7" t="inlineStr">
        <is>
          <t>USDC/ETH gamma maker defence v1（Google Sheet）</t>
        </is>
      </c>
      <c r="D12" s="7" t="inlineStr">
        <is>
          <t>gamma_maker_defense_ethusdc_v1.py</t>
        </is>
      </c>
      <c r="E12" s="7" t="inlineStr">
        <is>
          <t>maker-defense</t>
        </is>
      </c>
      <c r="F12" s="8" t="n"/>
      <c r="G12" s="9" t="n"/>
      <c r="H12" s="7" t="inlineStr">
        <is>
          <t>我們的實驗基準（SPEC=v1），自 EXP-156 起</t>
        </is>
      </c>
    </row>
    <row r="13">
      <c r="A13" s="7" t="inlineStr">
        <is>
          <t>v2</t>
        </is>
      </c>
      <c r="B13" s="7" t="inlineStr">
        <is>
          <t>回補階梯改為 +7.5 / 12.5 / 17.5 / 22.5%；F 改用虛擬 LP 價值比例；新增複利模式（每月 1 日把手續費加回 LP）。</t>
        </is>
      </c>
      <c r="C13" s="7" t="inlineStr">
        <is>
          <t>ETH-USDC MGL 規格書 v2</t>
        </is>
      </c>
      <c r="D13" s="7" t="inlineStr">
        <is>
          <t>gamma_maker_defense_ethusdc_v2.py</t>
        </is>
      </c>
      <c r="E13" s="7" t="inlineStr">
        <is>
          <t>maker-defense（ca675a1, 10-06）</t>
        </is>
      </c>
      <c r="F13" s="8" t="n"/>
      <c r="G13" s="9" t="n"/>
      <c r="H13" s="7" t="inlineStr">
        <is>
          <t>程式預設改為池費 0.05% + 深度滑價</t>
        </is>
      </c>
    </row>
    <row r="14">
      <c r="A14" s="7" t="inlineStr">
        <is>
          <t>v3</t>
        </is>
      </c>
      <c r="B14" s="7" t="inlineStr">
        <is>
          <t>v2 再加「均線乖離規則」：收盤 ≥ EMA100 × 1.40 時 LP 全部撤成 USDC；乖離縮回 +20% 以下才恢復一般規則。</t>
        </is>
      </c>
      <c r="C14" s="7" t="inlineStr">
        <is>
          <t>ETH-USDC Maker-Grade Liquidity 規格書 v3（新增均線乖離規則），Slack 10-06</t>
        </is>
      </c>
      <c r="D14" s="7" t="inlineStr">
        <is>
          <t>gamma_maker_defense_ethusdc_v3.py</t>
        </is>
      </c>
      <c r="E14" s="7" t="inlineStr">
        <is>
          <t>只在 Slack（10-12），尚未進 git</t>
        </is>
      </c>
      <c r="F14" s="8" t="n"/>
      <c r="G14" s="9" t="n"/>
      <c r="H14" s="7" t="inlineStr">
        <is>
          <t>ETH-cbBTC 不導入乖離規則（規格書第 0 節）</t>
        </is>
      </c>
    </row>
    <row r="16">
      <c r="A16" s="3" t="inlineStr">
        <is>
          <t>3. 逐年績效（每年 1/2 以 $100k 起算，各年不連續）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6" t="inlineStr">
        <is>
          <t>系列</t>
        </is>
      </c>
      <c r="B17" s="6" t="inlineStr">
        <is>
          <t>2022</t>
        </is>
      </c>
      <c r="C17" s="6" t="inlineStr">
        <is>
          <t>2023</t>
        </is>
      </c>
      <c r="D17" s="6" t="inlineStr">
        <is>
          <t>2024</t>
        </is>
      </c>
      <c r="E17" s="6" t="inlineStr">
        <is>
          <t>2025</t>
        </is>
      </c>
      <c r="F17" s="6" t="inlineStr">
        <is>
          <t>四年平均</t>
        </is>
      </c>
      <c r="G17" s="6" t="inlineStr"/>
      <c r="H17" s="6" t="inlineStr">
        <is>
          <t>口徑</t>
        </is>
      </c>
    </row>
    <row r="18">
      <c r="A18" s="7" t="inlineStr">
        <is>
          <t>v1 程式（規格書設定）</t>
        </is>
      </c>
      <c r="B18" s="10" t="n">
        <v>0.118</v>
      </c>
      <c r="C18" s="10" t="n">
        <v>0.404</v>
      </c>
      <c r="D18" s="10" t="n">
        <v>0.323</v>
      </c>
      <c r="E18" s="10" t="n">
        <v>0.163</v>
      </c>
      <c r="F18" s="10">
        <f>AVERAGE(B18:E18)</f>
        <v/>
      </c>
      <c r="G18" s="7" t="inlineStr"/>
      <c r="H18" s="7" t="inlineStr">
        <is>
          <t>swap 平價 0.1%；Maker，Slack 2026-10-06</t>
        </is>
      </c>
    </row>
    <row r="19">
      <c r="A19" s="7" t="inlineStr">
        <is>
          <t>v2 程式，標準模式</t>
        </is>
      </c>
      <c r="B19" s="10" t="n">
        <v>0.207</v>
      </c>
      <c r="C19" s="10" t="n">
        <v>0.219</v>
      </c>
      <c r="D19" s="10" t="n">
        <v>0.195</v>
      </c>
      <c r="E19" s="10" t="n">
        <v>0.226</v>
      </c>
      <c r="F19" s="10">
        <f>AVERAGE(B19:E19)</f>
        <v/>
      </c>
      <c r="G19" s="7" t="inlineStr"/>
      <c r="H19" s="7" t="inlineStr">
        <is>
          <t>池費 0.05% + 深度滑價；GAMMA_MAKER_DEFENSE_ETHUSDC_V2.md 6.0</t>
        </is>
      </c>
    </row>
    <row r="20">
      <c r="A20" s="7" t="inlineStr">
        <is>
          <t>v2 規格書，標準模式</t>
        </is>
      </c>
      <c r="B20" s="10" t="n">
        <v>0.151</v>
      </c>
      <c r="C20" s="10" t="n">
        <v>0.231</v>
      </c>
      <c r="D20" s="10" t="n">
        <v>0.252</v>
      </c>
      <c r="E20" s="10" t="n">
        <v>0.287</v>
      </c>
      <c r="F20" s="10">
        <f>AVERAGE(B20:E20)</f>
        <v/>
      </c>
      <c r="G20" s="7" t="inlineStr"/>
      <c r="H20" s="7" t="inlineStr">
        <is>
          <t>規格書獎勵模型（年底資產 115.1 / 123.1 / 125.2 / 128.7 $k）</t>
        </is>
      </c>
    </row>
    <row r="21">
      <c r="A21" s="2" t="inlineStr">
        <is>
          <t>v3 沒有逐年數字：規格書只給 2021-05-05..2026-08-31 連續期（見第 4 節），程式結果尚未公布。</t>
        </is>
      </c>
    </row>
    <row r="23">
      <c r="A23" s="3" t="inlineStr">
        <is>
          <t>4. 連續期績效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6" t="inlineStr">
        <is>
          <t>系列</t>
        </is>
      </c>
      <c r="B24" s="6" t="inlineStr">
        <is>
          <t>期間</t>
        </is>
      </c>
      <c r="C24" s="6" t="inlineStr">
        <is>
          <t>期末資產（$k，起始 100）</t>
        </is>
      </c>
      <c r="D24" s="6" t="inlineStr">
        <is>
          <t>總報酬</t>
        </is>
      </c>
      <c r="E24" s="6" t="inlineStr">
        <is>
          <t>最大回撤</t>
        </is>
      </c>
      <c r="F24" s="6" t="inlineStr"/>
      <c r="G24" s="6" t="inlineStr"/>
      <c r="H24" s="6" t="inlineStr">
        <is>
          <t>口徑</t>
        </is>
      </c>
    </row>
    <row r="25">
      <c r="A25" s="7" t="inlineStr">
        <is>
          <t>v1 Google Sheet</t>
        </is>
      </c>
      <c r="B25" s="7" t="inlineStr">
        <is>
          <t>2022-01-02..2025-12-31</t>
        </is>
      </c>
      <c r="C25" s="11" t="n">
        <v>183.5</v>
      </c>
      <c r="D25" s="10">
        <f>C25/100-1</f>
        <v/>
      </c>
      <c r="E25" s="10" t="n">
        <v>-0.258</v>
      </c>
      <c r="F25" s="7" t="inlineStr"/>
      <c r="G25" s="7" t="inlineStr"/>
      <c r="H25" s="7" t="inlineStr">
        <is>
          <t>APR 16.4%；Maker 回測，swap 0.1%、池費 0.05%</t>
        </is>
      </c>
    </row>
    <row r="26">
      <c r="A26" s="7" t="inlineStr">
        <is>
          <t>v1 我們重現（EXP-156 的 A）</t>
        </is>
      </c>
      <c r="B26" s="7" t="inlineStr">
        <is>
          <t>2022-01-02..2025-12-31</t>
        </is>
      </c>
      <c r="C26" s="11" t="n">
        <v>184</v>
      </c>
      <c r="D26" s="10">
        <f>C26/100-1</f>
        <v/>
      </c>
      <c r="E26" s="7" t="n"/>
      <c r="F26" s="7" t="inlineStr"/>
      <c r="G26" s="7" t="inlineStr"/>
      <c r="H26" s="7" t="inlineStr">
        <is>
          <t>CAGR 16.5%；v6_validate.py SPEC=v1</t>
        </is>
      </c>
    </row>
    <row r="27">
      <c r="A27" s="7" t="inlineStr">
        <is>
          <t>v2 規格書，標準</t>
        </is>
      </c>
      <c r="B27" s="7" t="inlineStr">
        <is>
          <t>2021-05-05..2026-08-31</t>
        </is>
      </c>
      <c r="C27" s="11" t="n">
        <v>186.2</v>
      </c>
      <c r="D27" s="10">
        <f>C27/100-1</f>
        <v/>
      </c>
      <c r="E27" s="10" t="n">
        <v>-0.28</v>
      </c>
      <c r="F27" s="7" t="inlineStr"/>
      <c r="G27" s="7" t="inlineStr"/>
      <c r="H27" s="7" t="inlineStr">
        <is>
          <t>規格書 v3 第 7 節，UTC 0 時判定</t>
        </is>
      </c>
    </row>
    <row r="28">
      <c r="A28" s="7" t="inlineStr">
        <is>
          <t>v3 規格書，標準</t>
        </is>
      </c>
      <c r="B28" s="7" t="inlineStr">
        <is>
          <t>2021-05-05..2026-08-31</t>
        </is>
      </c>
      <c r="C28" s="11" t="n">
        <v>231.9</v>
      </c>
      <c r="D28" s="10">
        <f>C28/100-1</f>
        <v/>
      </c>
      <c r="E28" s="10" t="n">
        <v>-0.19</v>
      </c>
      <c r="F28" s="7" t="inlineStr"/>
      <c r="G28" s="7" t="inlineStr"/>
      <c r="H28" s="7" t="inlineStr">
        <is>
          <t>原資 125.4 + 已領獎勵 106.5</t>
        </is>
      </c>
    </row>
    <row r="29">
      <c r="A29" s="7" t="inlineStr">
        <is>
          <t>v2 規格書，複利</t>
        </is>
      </c>
      <c r="B29" s="7" t="inlineStr">
        <is>
          <t>2021-05-05..2026-08-31</t>
        </is>
      </c>
      <c r="C29" s="11" t="n">
        <v>262.5</v>
      </c>
      <c r="D29" s="10">
        <f>C29/100-1</f>
        <v/>
      </c>
      <c r="E29" s="10" t="n">
        <v>-0.36</v>
      </c>
      <c r="F29" s="7" t="inlineStr"/>
      <c r="G29" s="7" t="inlineStr"/>
      <c r="H29" s="7" t="inlineStr">
        <is>
          <t>規格書 v3 第 7 節</t>
        </is>
      </c>
    </row>
    <row r="30">
      <c r="A30" s="7" t="inlineStr">
        <is>
          <t>v3 規格書，複利</t>
        </is>
      </c>
      <c r="B30" s="7" t="inlineStr">
        <is>
          <t>2021-05-05..2026-08-31</t>
        </is>
      </c>
      <c r="C30" s="11" t="n">
        <v>323.7</v>
      </c>
      <c r="D30" s="10">
        <f>C30/100-1</f>
        <v/>
      </c>
      <c r="E30" s="10" t="n">
        <v>-0.24</v>
      </c>
      <c r="F30" s="7" t="inlineStr"/>
      <c r="G30" s="7" t="inlineStr"/>
      <c r="H30" s="7" t="inlineStr">
        <is>
          <t>規格書 v3 第 7 節</t>
        </is>
      </c>
    </row>
    <row r="31">
      <c r="A31" s="7" t="inlineStr">
        <is>
          <t>v2 規格書，24 種判定時間平均</t>
        </is>
      </c>
      <c r="B31" s="7" t="inlineStr">
        <is>
          <t>2021-05-05..2026-08-31</t>
        </is>
      </c>
      <c r="C31" s="11" t="n">
        <v>142.8</v>
      </c>
      <c r="D31" s="10">
        <f>C31/100-1</f>
        <v/>
      </c>
      <c r="E31" s="10" t="n">
        <v>-0.38</v>
      </c>
      <c r="F31" s="7" t="inlineStr"/>
      <c r="G31" s="7" t="inlineStr"/>
      <c r="H31" s="7" t="inlineStr">
        <is>
          <t>判定時間偏移 UTC 0..23 時的平均</t>
        </is>
      </c>
    </row>
    <row r="32">
      <c r="A32" s="7" t="inlineStr">
        <is>
          <t>v3 規格書，24 種判定時間平均</t>
        </is>
      </c>
      <c r="B32" s="7" t="inlineStr">
        <is>
          <t>2021-05-05..2026-08-31</t>
        </is>
      </c>
      <c r="C32" s="11" t="n">
        <v>193.4</v>
      </c>
      <c r="D32" s="10">
        <f>C32/100-1</f>
        <v/>
      </c>
      <c r="E32" s="10" t="n">
        <v>-0.23</v>
      </c>
      <c r="F32" s="7" t="inlineStr"/>
      <c r="G32" s="7" t="inlineStr"/>
      <c r="H32" s="7" t="inlineStr">
        <is>
          <t>實際運作應預期接近此值（規格書）</t>
        </is>
      </c>
    </row>
    <row r="33">
      <c r="A33" s="7" t="inlineStr">
        <is>
          <t>ETH 持有</t>
        </is>
      </c>
      <c r="B33" s="7" t="inlineStr">
        <is>
          <t>2021-05-05..2026-08-31</t>
        </is>
      </c>
      <c r="C33" s="11" t="n">
        <v>70</v>
      </c>
      <c r="D33" s="10">
        <f>C33/100-1</f>
        <v/>
      </c>
      <c r="E33" s="10" t="n">
        <v>-0.79</v>
      </c>
      <c r="F33" s="7" t="inlineStr"/>
      <c r="G33" s="7" t="inlineStr"/>
      <c r="H33" s="7" t="inlineStr">
        <is>
          <t>規格書 v3 第 7 節</t>
        </is>
      </c>
    </row>
    <row r="34">
      <c r="A34" s="2" t="inlineStr">
        <is>
          <t>規格書數字來自作者的獎勵模型，不是 Demeter 分鐘資料回測；v2 程式與規格書逐年差 −6.1..+5.6 $k，主要差在手續費模型。</t>
        </is>
      </c>
    </row>
    <row r="36">
      <c r="A36" s="3" t="inlineStr">
        <is>
          <t>5. 我們的最佳候選 vs v1：EXP-157（v6.75，回補日當天不能創盤中新低），全歷史 7 池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6" t="inlineStr">
        <is>
          <t>池子</t>
        </is>
      </c>
      <c r="B37" s="6" t="inlineStr">
        <is>
          <t>起日</t>
        </is>
      </c>
      <c r="C37" s="6" t="inlineStr">
        <is>
          <t>v1 CAGR</t>
        </is>
      </c>
      <c r="D37" s="6" t="inlineStr">
        <is>
          <t>EXP-157 CAGR</t>
        </is>
      </c>
      <c r="E37" s="6" t="inlineStr">
        <is>
          <t>v1 最大回撤</t>
        </is>
      </c>
      <c r="F37" s="6" t="inlineStr">
        <is>
          <t>EXP-157 最大回撤</t>
        </is>
      </c>
      <c r="G37" s="6" t="inlineStr">
        <is>
          <t>CAGR 差</t>
        </is>
      </c>
      <c r="H37" s="6" t="inlineStr">
        <is>
          <t>結果</t>
        </is>
      </c>
    </row>
    <row r="38">
      <c r="A38" s="7" t="inlineStr">
        <is>
          <t>ETH 主網 0.05% 0x88e6</t>
        </is>
      </c>
      <c r="B38" s="7" t="inlineStr">
        <is>
          <t>2021-05-06</t>
        </is>
      </c>
      <c r="C38" s="12" t="n">
        <v>0.1355</v>
      </c>
      <c r="D38" s="12" t="n">
        <v>0.1509</v>
      </c>
      <c r="E38" s="10" t="n">
        <v>-0.229</v>
      </c>
      <c r="F38" s="10" t="n">
        <v>-0.235</v>
      </c>
      <c r="G38" s="13">
        <f>D38-C38</f>
        <v/>
      </c>
      <c r="H38" s="7" t="inlineStr">
        <is>
          <t>贏</t>
        </is>
      </c>
    </row>
    <row r="39">
      <c r="A39" s="7" t="inlineStr">
        <is>
          <t>ETH 主網 0.3% 0x8ad5</t>
        </is>
      </c>
      <c r="B39" s="7" t="inlineStr">
        <is>
          <t>2021-05-06</t>
        </is>
      </c>
      <c r="C39" s="12" t="n">
        <v>0.1378</v>
      </c>
      <c r="D39" s="12" t="n">
        <v>0.1586</v>
      </c>
      <c r="E39" s="10" t="n">
        <v>-0.21</v>
      </c>
      <c r="F39" s="10" t="n">
        <v>-0.217</v>
      </c>
      <c r="G39" s="13">
        <f>D39-C39</f>
        <v/>
      </c>
      <c r="H39" s="7" t="inlineStr">
        <is>
          <t>贏</t>
        </is>
      </c>
    </row>
    <row r="40">
      <c r="A40" s="7" t="inlineStr">
        <is>
          <t>ETH Base 0.05% 0xd0b5</t>
        </is>
      </c>
      <c r="B40" s="7" t="inlineStr">
        <is>
          <t>2023-12-01</t>
        </is>
      </c>
      <c r="C40" s="12" t="n">
        <v>0.1696</v>
      </c>
      <c r="D40" s="12" t="n">
        <v>0.1692</v>
      </c>
      <c r="E40" s="10" t="n">
        <v>-0.347</v>
      </c>
      <c r="F40" s="10" t="n">
        <v>-0.359</v>
      </c>
      <c r="G40" s="13">
        <f>D40-C40</f>
        <v/>
      </c>
      <c r="H40" s="7" t="inlineStr">
        <is>
          <t>輸（Calmar）</t>
        </is>
      </c>
    </row>
    <row r="41">
      <c r="A41" s="7" t="inlineStr">
        <is>
          <t>ETH Arbitrum 0.05% 0xc696</t>
        </is>
      </c>
      <c r="B41" s="7" t="inlineStr">
        <is>
          <t>2023-06-09</t>
        </is>
      </c>
      <c r="C41" s="12" t="n">
        <v>0.2688</v>
      </c>
      <c r="D41" s="12" t="n">
        <v>0.2656</v>
      </c>
      <c r="E41" s="10" t="n">
        <v>-0.314</v>
      </c>
      <c r="F41" s="10" t="n">
        <v>-0.325</v>
      </c>
      <c r="G41" s="13">
        <f>D41-C41</f>
        <v/>
      </c>
      <c r="H41" s="7" t="inlineStr">
        <is>
          <t>輸（Calmar）</t>
        </is>
      </c>
    </row>
    <row r="42">
      <c r="A42" s="7" t="inlineStr">
        <is>
          <t>ETH Base 0.3% 0x6c56</t>
        </is>
      </c>
      <c r="B42" s="7" t="inlineStr">
        <is>
          <t>2025-01-01</t>
        </is>
      </c>
      <c r="C42" s="12" t="n">
        <v>0.1648</v>
      </c>
      <c r="D42" s="12" t="n">
        <v>0.1704</v>
      </c>
      <c r="E42" s="10" t="n">
        <v>-0.246</v>
      </c>
      <c r="F42" s="10" t="n">
        <v>-0.246</v>
      </c>
      <c r="G42" s="13">
        <f>D42-C42</f>
        <v/>
      </c>
      <c r="H42" s="7" t="inlineStr">
        <is>
          <t>贏</t>
        </is>
      </c>
    </row>
    <row r="43">
      <c r="A43" s="7" t="inlineStr">
        <is>
          <t>BTC 主網 WBTC 0.3% 0x99ac</t>
        </is>
      </c>
      <c r="B43" s="7" t="inlineStr">
        <is>
          <t>2021-11-02</t>
        </is>
      </c>
      <c r="C43" s="12" t="n">
        <v>0.1043</v>
      </c>
      <c r="D43" s="12" t="n">
        <v>0.1049</v>
      </c>
      <c r="E43" s="10" t="n">
        <v>-0.301</v>
      </c>
      <c r="F43" s="10" t="n">
        <v>-0.302</v>
      </c>
      <c r="G43" s="13">
        <f>D43-C43</f>
        <v/>
      </c>
      <c r="H43" s="7" t="inlineStr">
        <is>
          <t>贏（雜訊內）</t>
        </is>
      </c>
    </row>
    <row r="44">
      <c r="A44" s="7" t="inlineStr">
        <is>
          <t>BTC Base cbBTC 0.05% 0xfbb6</t>
        </is>
      </c>
      <c r="B44" s="7" t="inlineStr">
        <is>
          <t>2024-10-01</t>
        </is>
      </c>
      <c r="C44" s="12" t="n">
        <v>0.2046</v>
      </c>
      <c r="D44" s="12" t="n">
        <v>0.2052</v>
      </c>
      <c r="E44" s="10" t="n">
        <v>-0.167</v>
      </c>
      <c r="F44" s="10" t="n">
        <v>-0.167</v>
      </c>
      <c r="G44" s="13">
        <f>D44-C44</f>
        <v/>
      </c>
      <c r="H44" s="7" t="inlineStr">
        <is>
          <t>贏（雜訊內）</t>
        </is>
      </c>
    </row>
    <row r="45">
      <c r="A45" s="7" t="inlineStr">
        <is>
          <t>贏的池數</t>
        </is>
      </c>
      <c r="B45" s="7" t="inlineStr"/>
      <c r="C45" s="7" t="inlineStr"/>
      <c r="D45" s="7" t="inlineStr"/>
      <c r="E45" s="7" t="inlineStr"/>
      <c r="F45" s="7" t="inlineStr"/>
      <c r="G45" s="7">
        <f>COUNTIF(H38:H44,"贏*")</f>
        <v/>
      </c>
      <c r="H45" s="7" t="inlineStr">
        <is>
          <t>7 池中</t>
        </is>
      </c>
    </row>
    <row r="46">
      <c r="A46" s="2" t="inlineStr">
        <is>
          <t>來源：experiments/EXP-157-nolow-specv1.md（SPEC=v1，到 2026-09-17；Arbitrum 到 2025-07-23）。v2、v3 尚未在這 7 池上跑。</t>
        </is>
      </c>
    </row>
    <row r="48">
      <c r="A48" s="3" t="inlineStr">
        <is>
          <t>6. 實驗分類索引（EXP-001..175，每個分頁一類）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6" t="inlineStr">
        <is>
          <t>分頁</t>
        </is>
      </c>
      <c r="B49" s="6" t="inlineStr">
        <is>
          <t>改動 v6 的哪個部分</t>
        </is>
      </c>
      <c r="C49" s="6" t="inlineStr">
        <is>
          <t>試過</t>
        </is>
      </c>
      <c r="D49" s="6" t="inlineStr">
        <is>
          <t>通過</t>
        </is>
      </c>
      <c r="E49" s="6" t="inlineStr">
        <is>
          <t>通過但不含 v6.75</t>
        </is>
      </c>
      <c r="F49" s="6" t="inlineStr"/>
      <c r="G49" s="6" t="inlineStr"/>
      <c r="H49" s="6" t="inlineStr">
        <is>
          <t>說明</t>
        </is>
      </c>
    </row>
    <row r="50">
      <c r="A50" s="14" t="inlineStr">
        <is>
          <t>訊號線</t>
        </is>
      </c>
      <c r="B50" s="7" t="inlineStr">
        <is>
          <t>把 EMA 換成別的趨勢線（Donchian、SMA、Aroon、Ichimoku…）</t>
        </is>
      </c>
      <c r="C50" s="7">
        <f>COUNTIF('訊號線'!$A$2:$A$500,"EXP-*")</f>
        <v/>
      </c>
      <c r="D50" s="7">
        <f>COUNTIF('訊號線'!$D$2:$D$500,"是")</f>
        <v/>
      </c>
      <c r="E50" s="7">
        <f>COUNTIFS('訊號線'!$D$2:$D$500,"是",'訊號線'!$F$2:$F$500,"否")</f>
        <v/>
      </c>
      <c r="F50" s="7" t="inlineStr"/>
      <c r="G50" s="7" t="inlineStr"/>
      <c r="H50" s="7" t="inlineStr">
        <is>
          <t>EMA 換成別的趨勢線都沒贏；Donchian 只在單獨等級通過</t>
        </is>
      </c>
    </row>
    <row r="51">
      <c r="A51" s="14" t="inlineStr">
        <is>
          <t>F引擎</t>
        </is>
      </c>
      <c r="B51" s="7" t="inlineStr">
        <is>
          <t>四帳戶怎麼算出部署比例 F、多久讀一次、下限</t>
        </is>
      </c>
      <c r="C51" s="7">
        <f>COUNTIF('F引擎'!$A$2:$A$500,"EXP-*")</f>
        <v/>
      </c>
      <c r="D51" s="7">
        <f>COUNTIF('F引擎'!$D$2:$D$500,"是")</f>
        <v/>
      </c>
      <c r="E51" s="7">
        <f>COUNTIFS('F引擎'!$D$2:$D$500,"是",'F引擎'!$F$2:$F$500,"否")</f>
        <v/>
      </c>
      <c r="F51" s="7" t="inlineStr"/>
      <c r="G51" s="7" t="inlineStr"/>
      <c r="H51" s="7" t="inlineStr">
        <is>
          <t>全部失敗；四帳戶 EMA 引擎不要動</t>
        </is>
      </c>
    </row>
    <row r="52">
      <c r="A52" s="14" t="inlineStr">
        <is>
          <t>撤出停損</t>
        </is>
      </c>
      <c r="B52" s="7" t="inlineStr">
        <is>
          <t>什麼時候把 LP 撤回 USDC</t>
        </is>
      </c>
      <c r="C52" s="7">
        <f>COUNTIF('撤出停損'!$A$2:$A$500,"EXP-*")</f>
        <v/>
      </c>
      <c r="D52" s="7">
        <f>COUNTIF('撤出停損'!$D$2:$D$500,"是")</f>
        <v/>
      </c>
      <c r="E52" s="7">
        <f>COUNTIFS('撤出停損'!$D$2:$D$500,"是",'撤出停損'!$F$2:$F$500,"否")</f>
        <v/>
      </c>
      <c r="F52" s="7" t="inlineStr"/>
      <c r="G52" s="7" t="inlineStr"/>
      <c r="H52" s="7" t="inlineStr">
        <is>
          <t>兩天確認單獨通過，全歷史只贏 1/7；盤中停損只對 WBTC 有用</t>
        </is>
      </c>
    </row>
    <row r="53">
      <c r="A53" s="14" t="inlineStr">
        <is>
          <t>回補</t>
        </is>
      </c>
      <c r="B53" s="7" t="inlineStr">
        <is>
          <t>撤出後分階段買回的條件</t>
        </is>
      </c>
      <c r="C53" s="7">
        <f>COUNTIF('回補'!$A$2:$A$500,"EXP-*")</f>
        <v/>
      </c>
      <c r="D53" s="7">
        <f>COUNTIF('回補'!$D$2:$D$500,"是")</f>
        <v/>
      </c>
      <c r="E53" s="7">
        <f>COUNTIFS('回補'!$D$2:$D$500,"是",'回補'!$F$2:$F$500,"否")</f>
        <v/>
      </c>
      <c r="F53" s="7" t="inlineStr"/>
      <c r="G53" s="7" t="inlineStr"/>
      <c r="H53" s="7" t="inlineStr">
        <is>
          <t>唯一一再成立的發現：v6.75（5/7）；跨資產回補只對 ETH 有用</t>
        </is>
      </c>
    </row>
    <row r="54">
      <c r="A54" s="14" t="inlineStr">
        <is>
          <t>重建時機</t>
        </is>
      </c>
      <c r="B54" s="7" t="inlineStr">
        <is>
          <t>什麼時候重建區間、重心放哪裡</t>
        </is>
      </c>
      <c r="C54" s="7">
        <f>COUNTIF('重建時機'!$A$2:$A$500,"EXP-*")</f>
        <v/>
      </c>
      <c r="D54" s="7">
        <f>COUNTIF('重建時機'!$D$2:$D$500,"是")</f>
        <v/>
      </c>
      <c r="E54" s="7">
        <f>COUNTIFS('重建時機'!$D$2:$D$500,"是",'重建時機'!$F$2:$F$500,"否")</f>
        <v/>
      </c>
      <c r="F54" s="7" t="inlineStr"/>
      <c r="G54" s="7" t="inlineStr"/>
      <c r="H54" s="7" t="inlineStr">
        <is>
          <t>上漲 / 比例翻轉時重建，跨時間不成立；通過的都含 v6.75</t>
        </is>
      </c>
    </row>
    <row r="55">
      <c r="A55" s="14" t="inlineStr">
        <is>
          <t>區間寬度形狀</t>
        </is>
      </c>
      <c r="B55" s="7" t="inlineStr">
        <is>
          <t>±20% 谷型的寬度、偏移、半邊梯子</t>
        </is>
      </c>
      <c r="C55" s="7">
        <f>COUNTIF('區間寬度形狀'!$A$2:$A$500,"EXP-*")</f>
        <v/>
      </c>
      <c r="D55" s="7">
        <f>COUNTIF('區間寬度形狀'!$D$2:$D$500,"是")</f>
        <v/>
      </c>
      <c r="E55" s="7">
        <f>COUNTIFS('區間寬度形狀'!$D$2:$D$500,"是",'區間寬度形狀'!$F$2:$F$500,"否")</f>
        <v/>
      </c>
      <c r="F55" s="7" t="inlineStr"/>
      <c r="G55" s="7" t="inlineStr"/>
      <c r="H55" s="7" t="inlineStr">
        <is>
          <t>固定 ±20% 保留：5 條動態寬度規則全輸；+40% 上緣回撤較深、輸 BTC</t>
        </is>
      </c>
    </row>
    <row r="56">
      <c r="A56" s="14" t="inlineStr">
        <is>
          <t>ETH比例s</t>
        </is>
      </c>
      <c r="B56" s="7" t="inlineStr">
        <is>
          <t>LP 裡 ETH 佔 70% / 50% 的規則</t>
        </is>
      </c>
      <c r="C56" s="7">
        <f>COUNTIF('ETH比例s'!$A$2:$A$500,"EXP-*")</f>
        <v/>
      </c>
      <c r="D56" s="7">
        <f>COUNTIF('ETH比例s'!$D$2:$D$500,"是")</f>
        <v/>
      </c>
      <c r="E56" s="7">
        <f>COUNTIFS('ETH比例s'!$D$2:$D$500,"是",'ETH比例s'!$F$2:$F$500,"否")</f>
        <v/>
      </c>
      <c r="F56" s="7" t="inlineStr"/>
      <c r="G56" s="7" t="inlineStr"/>
      <c r="H56" s="7" t="inlineStr">
        <is>
          <t>固定 50% 單獨表現一樣好：EMA100 比例規則貢獻小</t>
        </is>
      </c>
    </row>
    <row r="57">
      <c r="A57" s="14" t="inlineStr">
        <is>
          <t>總經事件</t>
        </is>
      </c>
      <c r="B57" s="7" t="inlineStr">
        <is>
          <t>CPI / FOMC 等事件前後撤出或恢復</t>
        </is>
      </c>
      <c r="C57" s="7">
        <f>COUNTIF('總經事件'!$A$2:$A$500,"EXP-*")</f>
        <v/>
      </c>
      <c r="D57" s="7">
        <f>COUNTIF('總經事件'!$D$2:$D$500,"是")</f>
        <v/>
      </c>
      <c r="E57" s="7">
        <f>COUNTIFS('總經事件'!$D$2:$D$500,"是",'總經事件'!$F$2:$F$500,"否")</f>
        <v/>
      </c>
      <c r="F57" s="7" t="inlineStr"/>
      <c r="G57" s="7" t="inlineStr"/>
      <c r="H57" s="7" t="inlineStr">
        <is>
          <t>ETH +0.4 pt CAGR，但重建次數翻倍（gas 未計）</t>
        </is>
      </c>
    </row>
    <row r="58">
      <c r="A58" s="14" t="inlineStr">
        <is>
          <t>費率分層組合</t>
        </is>
      </c>
      <c r="B58" s="7" t="inlineStr">
        <is>
          <t>0.3% 池與 0.05% 池各用一組規則</t>
        </is>
      </c>
      <c r="C58" s="7">
        <f>COUNTIF('費率分層組合'!$A$2:$A$500,"EXP-*")</f>
        <v/>
      </c>
      <c r="D58" s="7">
        <f>COUNTIF('費率分層組合'!$D$2:$D$500,"是")</f>
        <v/>
      </c>
      <c r="E58" s="7">
        <f>COUNTIFS('費率分層組合'!$D$2:$D$500,"是",'費率分層組合'!$F$2:$F$500,"否")</f>
        <v/>
      </c>
      <c r="F58" s="7" t="inlineStr"/>
      <c r="G58" s="7" t="inlineStr"/>
      <c r="H58" s="7" t="inlineStr">
        <is>
          <t>23 個通過約等於 4 個發現；0.05% 那側都跑 v6.75</t>
        </is>
      </c>
    </row>
    <row r="59">
      <c r="A59" s="14" t="inlineStr">
        <is>
          <t>換匯路由</t>
        </is>
      </c>
      <c r="B59" s="7" t="inlineStr">
        <is>
          <t>重建時的 swap 走哪個池</t>
        </is>
      </c>
      <c r="C59" s="7">
        <f>COUNTIF('換匯路由'!$A$2:$A$500,"EXP-*")</f>
        <v/>
      </c>
      <c r="D59" s="7">
        <f>COUNTIF('換匯路由'!$D$2:$D$500,"是")</f>
        <v/>
      </c>
      <c r="E59" s="7">
        <f>COUNTIFS('換匯路由'!$D$2:$D$500,"是",'換匯路由'!$F$2:$F$500,"否")</f>
        <v/>
      </c>
      <c r="F59" s="7" t="inlineStr"/>
      <c r="G59" s="7" t="inlineStr"/>
      <c r="H59" s="7" t="inlineStr">
        <is>
          <t>swap 走 0.05% 池：WBTC 約 +1 pt</t>
        </is>
      </c>
    </row>
    <row r="60">
      <c r="A60" s="14" t="inlineStr">
        <is>
          <t>非LP本體</t>
        </is>
      </c>
      <c r="B60" s="7" t="inlineStr">
        <is>
          <t>現貨、永續空單、閒置資金收益（依規則不算改進）</t>
        </is>
      </c>
      <c r="C60" s="7">
        <f>COUNTIF('非LP本體'!$A$2:$A$500,"EXP-*")</f>
        <v/>
      </c>
      <c r="D60" s="7">
        <f>COUNTIF('非LP本體'!$D$2:$D$500,"是")</f>
        <v/>
      </c>
      <c r="E60" s="7">
        <f>COUNTIFS('非LP本體'!$D$2:$D$500,"是",'非LP本體'!$F$2:$F$500,"否")</f>
        <v/>
      </c>
      <c r="F60" s="7" t="inlineStr"/>
      <c r="G60" s="7" t="inlineStr"/>
      <c r="H60" s="7" t="inlineStr">
        <is>
          <t>範圍外：閒置收益不算改進（2026-10-05 裁定），2026-10-01 起只做純 LP</t>
        </is>
      </c>
    </row>
    <row r="61">
      <c r="A61" s="14" t="inlineStr">
        <is>
          <t>驗證移植</t>
        </is>
      </c>
      <c r="B61" s="7" t="inlineStr">
        <is>
          <t>換池子、換基準、組合，不改策略</t>
        </is>
      </c>
      <c r="C61" s="7">
        <f>COUNTIF('驗證移植'!$A$2:$A$500,"EXP-*")</f>
        <v/>
      </c>
      <c r="D61" s="7">
        <f>COUNTIF('驗證移植'!$D$2:$D$500,"是")</f>
        <v/>
      </c>
      <c r="E61" s="7">
        <f>COUNTIFS('驗證移植'!$D$2:$D$500,"是",'驗證移植'!$F$2:$F$500,"否")</f>
        <v/>
      </c>
      <c r="F61" s="7" t="inlineStr"/>
      <c r="G61" s="7" t="inlineStr"/>
      <c r="H61" s="7" t="inlineStr">
        <is>
          <t>不是策略改動</t>
        </is>
      </c>
    </row>
    <row r="62">
      <c r="A62" s="15" t="inlineStr">
        <is>
          <t>合計</t>
        </is>
      </c>
      <c r="B62" s="15" t="inlineStr"/>
      <c r="C62" s="15">
        <f>SUM(C50:C61)</f>
        <v/>
      </c>
      <c r="D62" s="15">
        <f>SUM(D50:D61)</f>
        <v/>
      </c>
      <c r="E62" s="15">
        <f>SUM(E50:E61)</f>
        <v/>
      </c>
      <c r="F62" s="7" t="inlineStr"/>
      <c r="G62" s="7" t="inlineStr"/>
      <c r="H62" s="7" t="inlineStr"/>
    </row>
    <row r="63">
      <c r="A63" s="2" t="inlineStr">
        <is>
          <t>通過 = holdout-pass（EXP-001..152，dev + holdout 規則）或 pass（EXP-153 起，全歷史規則）。EXP-052 之後的通過全部含 v6.75。</t>
        </is>
      </c>
    </row>
  </sheetData>
  <mergeCells count="3">
    <mergeCell ref="E12:G12"/>
    <mergeCell ref="E13:G13"/>
    <mergeCell ref="E14:G14"/>
  </mergeCells>
  <hyperlinks>
    <hyperlink xmlns:r="http://schemas.openxmlformats.org/officeDocument/2006/relationships" ref="A50" r:id="rId1"/>
    <hyperlink xmlns:r="http://schemas.openxmlformats.org/officeDocument/2006/relationships" ref="A51" r:id="rId2"/>
    <hyperlink xmlns:r="http://schemas.openxmlformats.org/officeDocument/2006/relationships" ref="A52" r:id="rId3"/>
    <hyperlink xmlns:r="http://schemas.openxmlformats.org/officeDocument/2006/relationships" ref="A53" r:id="rId4"/>
    <hyperlink xmlns:r="http://schemas.openxmlformats.org/officeDocument/2006/relationships" ref="A54" r:id="rId5"/>
    <hyperlink xmlns:r="http://schemas.openxmlformats.org/officeDocument/2006/relationships" ref="A55" r:id="rId6"/>
    <hyperlink xmlns:r="http://schemas.openxmlformats.org/officeDocument/2006/relationships" ref="A56" r:id="rId7"/>
    <hyperlink xmlns:r="http://schemas.openxmlformats.org/officeDocument/2006/relationships" ref="A57" r:id="rId8"/>
    <hyperlink xmlns:r="http://schemas.openxmlformats.org/officeDocument/2006/relationships" ref="A58" r:id="rId9"/>
    <hyperlink xmlns:r="http://schemas.openxmlformats.org/officeDocument/2006/relationships" ref="A59" r:id="rId10"/>
    <hyperlink xmlns:r="http://schemas.openxmlformats.org/officeDocument/2006/relationships" ref="A60" r:id="rId11"/>
    <hyperlink xmlns:r="http://schemas.openxmlformats.org/officeDocument/2006/relationships" ref="A61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EXP-024</t>
        </is>
      </c>
      <c r="B2" s="7" t="inlineStr">
        <is>
          <t>v6.19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趨勢線改用 n 日 Donchian 通道中線</t>
        </is>
      </c>
      <c r="H2" s="7" t="inlineStr">
        <is>
          <t>regime line = midpoint of the n-day Donchian channel instead of EMA(n) (v6.19)</t>
        </is>
      </c>
      <c r="I2" s="16" t="n">
        <v>-1.44</v>
      </c>
      <c r="J2" s="7" t="inlineStr">
        <is>
          <t>2/5</t>
        </is>
      </c>
      <c r="K2" s="7" t="inlineStr"/>
      <c r="L2" s="10" t="n">
        <v>0.15</v>
      </c>
      <c r="M2" s="10" t="n">
        <v>-0.204</v>
      </c>
      <c r="N2" s="7" t="inlineStr">
        <is>
          <t>QUAN-876</t>
        </is>
      </c>
      <c r="O2" s="7" t="inlineStr">
        <is>
          <t>EXP-024-donchian-regime.md</t>
        </is>
      </c>
    </row>
    <row r="3">
      <c r="A3" s="7" t="inlineStr">
        <is>
          <t>EXP-025</t>
        </is>
      </c>
      <c r="B3" s="7" t="inlineStr">
        <is>
          <t>v6.20</t>
        </is>
      </c>
      <c r="C3" s="7" t="inlineStr">
        <is>
          <t>開發期淘汰</t>
        </is>
      </c>
      <c r="D3" s="7" t="inlineStr">
        <is>
          <t>否</t>
        </is>
      </c>
      <c r="E3" s="7" t="inlineStr">
        <is>
          <t>dev + holdout</t>
        </is>
      </c>
      <c r="F3" s="7" t="inlineStr">
        <is>
          <t>否</t>
        </is>
      </c>
      <c r="G3" s="7" t="inlineStr">
        <is>
          <t>趨勢線改用 Hull MA(n)</t>
        </is>
      </c>
      <c r="H3" s="7" t="inlineStr">
        <is>
          <t>regime line = Hull MA(n) instead of EMA(n) (v6.20)</t>
        </is>
      </c>
      <c r="I3" s="16" t="n">
        <v>-10.53</v>
      </c>
      <c r="J3" s="7" t="inlineStr">
        <is>
          <t>0/5</t>
        </is>
      </c>
      <c r="K3" s="7" t="inlineStr"/>
      <c r="L3" s="10" t="n">
        <v>0.032</v>
      </c>
      <c r="M3" s="10" t="n">
        <v>-0.241</v>
      </c>
      <c r="N3" s="7" t="inlineStr">
        <is>
          <t>QUAN-877</t>
        </is>
      </c>
      <c r="O3" s="7" t="inlineStr">
        <is>
          <t>EXP-025-hma-regime.md</t>
        </is>
      </c>
    </row>
    <row r="4">
      <c r="A4" s="7" t="inlineStr">
        <is>
          <t>EXP-026</t>
        </is>
      </c>
      <c r="B4" s="7" t="inlineStr">
        <is>
          <t>v6.21</t>
        </is>
      </c>
      <c r="C4" s="7" t="inlineStr">
        <is>
          <t>開發期淘汰</t>
        </is>
      </c>
      <c r="D4" s="7" t="inlineStr">
        <is>
          <t>否</t>
        </is>
      </c>
      <c r="E4" s="7" t="inlineStr">
        <is>
          <t>dev + holdout</t>
        </is>
      </c>
      <c r="F4" s="7" t="inlineStr">
        <is>
          <t>否</t>
        </is>
      </c>
      <c r="G4" s="7" t="inlineStr">
        <is>
          <t>趨勢判斷改用 n 日報酬 &gt; 0（時間序列動能）</t>
        </is>
      </c>
      <c r="H4" s="7" t="inlineStr">
        <is>
          <t>regime = n-day return &gt; 0 (time-series momentum) instead of price above EMA(n) (v6.21)</t>
        </is>
      </c>
      <c r="I4" s="16" t="n">
        <v>-7.42</v>
      </c>
      <c r="J4" s="7" t="inlineStr">
        <is>
          <t>1/5</t>
        </is>
      </c>
      <c r="K4" s="7" t="inlineStr"/>
      <c r="L4" s="10" t="n">
        <v>0.04</v>
      </c>
      <c r="M4" s="10" t="n">
        <v>-0.326</v>
      </c>
      <c r="N4" s="7" t="inlineStr">
        <is>
          <t>QUAN-878</t>
        </is>
      </c>
      <c r="O4" s="7" t="inlineStr">
        <is>
          <t>EXP-026-roc-regime.md</t>
        </is>
      </c>
    </row>
    <row r="5">
      <c r="A5" s="7" t="inlineStr">
        <is>
          <t>EXP-027</t>
        </is>
      </c>
      <c r="B5" s="7" t="inlineStr">
        <is>
          <t>v6.22</t>
        </is>
      </c>
      <c r="C5" s="7" t="inlineStr">
        <is>
          <t>開發期淘汰</t>
        </is>
      </c>
      <c r="D5" s="7" t="inlineStr">
        <is>
          <t>否</t>
        </is>
      </c>
      <c r="E5" s="7" t="inlineStr">
        <is>
          <t>dev + holdout</t>
        </is>
      </c>
      <c r="F5" s="7" t="inlineStr">
        <is>
          <t>否</t>
        </is>
      </c>
      <c r="G5" s="7" t="inlineStr">
        <is>
          <t>趨勢線改用 Supertrend（ATR(n) × 3）</t>
        </is>
      </c>
      <c r="H5" s="7" t="inlineStr">
        <is>
          <t>regime line = Supertrend (ATR(n) × 3 trailing band) instead of EMA(n) (v6.22)</t>
        </is>
      </c>
      <c r="I5" s="16" t="n">
        <v>-15.8</v>
      </c>
      <c r="J5" s="7" t="inlineStr">
        <is>
          <t>0/5</t>
        </is>
      </c>
      <c r="K5" s="7" t="inlineStr"/>
      <c r="L5" s="10" t="n">
        <v>-0.035</v>
      </c>
      <c r="M5" s="10" t="n">
        <v>-0.352</v>
      </c>
      <c r="N5" s="7" t="inlineStr">
        <is>
          <t>QUAN-879</t>
        </is>
      </c>
      <c r="O5" s="7" t="inlineStr">
        <is>
          <t>EXP-027-supertrend-regime.md</t>
        </is>
      </c>
    </row>
    <row r="6">
      <c r="A6" s="7" t="inlineStr">
        <is>
          <t>EXP-031</t>
        </is>
      </c>
      <c r="B6" s="7" t="inlineStr">
        <is>
          <t>v6.26</t>
        </is>
      </c>
      <c r="C6" s="7" t="inlineStr">
        <is>
          <t>開發期淘汰</t>
        </is>
      </c>
      <c r="D6" s="7" t="inlineStr">
        <is>
          <t>否</t>
        </is>
      </c>
      <c r="E6" s="7" t="inlineStr">
        <is>
          <t>dev + holdout</t>
        </is>
      </c>
      <c r="F6" s="7" t="inlineStr">
        <is>
          <t>否</t>
        </is>
      </c>
      <c r="G6" s="7" t="inlineStr">
        <is>
          <t>帳戶只在收盤同時高於 EMA(n) 與 Donchian 中線時武裝</t>
        </is>
      </c>
      <c r="H6" s="7" t="inlineStr">
        <is>
          <t>account armed only while the close is above both EMA(n) and the Donchian midpoint(n) (v6.26)</t>
        </is>
      </c>
      <c r="I6" s="16" t="n">
        <v>0.12</v>
      </c>
      <c r="J6" s="7" t="inlineStr">
        <is>
          <t>3/5</t>
        </is>
      </c>
      <c r="K6" s="7" t="inlineStr"/>
      <c r="L6" s="10" t="n">
        <v>0.142</v>
      </c>
      <c r="M6" s="10" t="n">
        <v>-0.209</v>
      </c>
      <c r="N6" s="7" t="inlineStr">
        <is>
          <t>QUAN-883</t>
        </is>
      </c>
      <c r="O6" s="7" t="inlineStr">
        <is>
          <t>EXP-031-consensus-ema-donchian.md</t>
        </is>
      </c>
    </row>
    <row r="7">
      <c r="A7" s="17" t="inlineStr">
        <is>
          <t>EXP-032</t>
        </is>
      </c>
      <c r="B7" s="17" t="inlineStr">
        <is>
          <t>v6.19</t>
        </is>
      </c>
      <c r="C7" s="17" t="inlineStr">
        <is>
          <t>通過（holdout）</t>
        </is>
      </c>
      <c r="D7" s="17" t="inlineStr">
        <is>
          <t>是</t>
        </is>
      </c>
      <c r="E7" s="17" t="inlineStr">
        <is>
          <t>dev + holdout</t>
        </is>
      </c>
      <c r="F7" s="17" t="inlineStr">
        <is>
          <t>否</t>
        </is>
      </c>
      <c r="G7" s="17" t="inlineStr">
        <is>
          <t>Donchian 中線版本（v6.19）單獨判定</t>
        </is>
      </c>
      <c r="H7" s="17" t="inlineStr">
        <is>
          <t>Donchian-midpoint regime line (v6.19) judged standalone (v6.19r)</t>
        </is>
      </c>
      <c r="I7" s="18" t="n">
        <v>-1.44</v>
      </c>
      <c r="J7" s="17" t="inlineStr">
        <is>
          <t>2/5</t>
        </is>
      </c>
      <c r="K7" s="17" t="inlineStr">
        <is>
          <t>2/3 pools</t>
        </is>
      </c>
      <c r="L7" s="19" t="n">
        <v>0.15</v>
      </c>
      <c r="M7" s="19" t="n">
        <v>-0.204</v>
      </c>
      <c r="N7" s="17" t="inlineStr">
        <is>
          <t>QUAN-884</t>
        </is>
      </c>
      <c r="O7" s="17" t="inlineStr">
        <is>
          <t>EXP-032-donchian-regime-standalone.md</t>
        </is>
      </c>
    </row>
    <row r="8">
      <c r="A8" s="7" t="inlineStr">
        <is>
          <t>EXP-033</t>
        </is>
      </c>
      <c r="B8" s="7" t="inlineStr">
        <is>
          <t>v6.23</t>
        </is>
      </c>
      <c r="C8" s="7" t="inlineStr">
        <is>
          <t>holdout 失敗</t>
        </is>
      </c>
      <c r="D8" s="7" t="inlineStr">
        <is>
          <t>否</t>
        </is>
      </c>
      <c r="E8" s="7" t="inlineStr">
        <is>
          <t>dev + holdout</t>
        </is>
      </c>
      <c r="F8" s="7" t="inlineStr">
        <is>
          <t>否</t>
        </is>
      </c>
      <c r="G8" s="7" t="inlineStr">
        <is>
          <t>EMA + Donchian 合成（v6.23）單獨判定</t>
        </is>
      </c>
      <c r="H8" s="7" t="inlineStr">
        <is>
          <t>EMA + Donchian ensemble (v6.23) judged standalone (v6.23r)</t>
        </is>
      </c>
      <c r="I8" s="16" t="n">
        <v>4.53</v>
      </c>
      <c r="J8" s="7" t="inlineStr">
        <is>
          <t>3/5</t>
        </is>
      </c>
      <c r="K8" s="7" t="inlineStr">
        <is>
          <t>1/3 pools</t>
        </is>
      </c>
      <c r="L8" s="10" t="n">
        <v>0.157</v>
      </c>
      <c r="M8" s="10" t="n">
        <v>-0.215</v>
      </c>
      <c r="N8" s="7" t="inlineStr">
        <is>
          <t>QUAN-885</t>
        </is>
      </c>
      <c r="O8" s="7" t="inlineStr">
        <is>
          <t>EXP-033-ensemble-standalone.md</t>
        </is>
      </c>
    </row>
    <row r="9">
      <c r="A9" s="7" t="inlineStr">
        <is>
          <t>EXP-035</t>
        </is>
      </c>
      <c r="B9" s="7" t="inlineStr">
        <is>
          <t>v6.26</t>
        </is>
      </c>
      <c r="C9" s="7" t="inlineStr">
        <is>
          <t>holdout 失敗</t>
        </is>
      </c>
      <c r="D9" s="7" t="inlineStr">
        <is>
          <t>否</t>
        </is>
      </c>
      <c r="E9" s="7" t="inlineStr">
        <is>
          <t>dev + holdout</t>
        </is>
      </c>
      <c r="F9" s="7" t="inlineStr">
        <is>
          <t>否</t>
        </is>
      </c>
      <c r="G9" s="7" t="inlineStr">
        <is>
          <t>EMA / Donchian 共識（v6.26）單獨判定</t>
        </is>
      </c>
      <c r="H9" s="7" t="inlineStr">
        <is>
          <t>EMA/Donchian consensus regime (v6.26) judged standalone (v6.26r)</t>
        </is>
      </c>
      <c r="I9" s="16" t="n">
        <v>0.12</v>
      </c>
      <c r="J9" s="7" t="inlineStr">
        <is>
          <t>3/5</t>
        </is>
      </c>
      <c r="K9" s="7" t="inlineStr">
        <is>
          <t>1/3 pools</t>
        </is>
      </c>
      <c r="L9" s="10" t="n">
        <v>0.142</v>
      </c>
      <c r="M9" s="10" t="n">
        <v>-0.209</v>
      </c>
      <c r="N9" s="7" t="inlineStr">
        <is>
          <t>QUAN-887</t>
        </is>
      </c>
      <c r="O9" s="7" t="inlineStr">
        <is>
          <t>EXP-035-consensus-standalone.md</t>
        </is>
      </c>
    </row>
    <row r="10">
      <c r="A10" s="7" t="inlineStr">
        <is>
          <t>EXP-036</t>
        </is>
      </c>
      <c r="B10" s="7" t="inlineStr">
        <is>
          <t>v6.27</t>
        </is>
      </c>
      <c r="C10" s="7" t="inlineStr">
        <is>
          <t>開發期淘汰</t>
        </is>
      </c>
      <c r="D10" s="7" t="inlineStr">
        <is>
          <t>否</t>
        </is>
      </c>
      <c r="E10" s="7" t="inlineStr">
        <is>
          <t>dev + holdout</t>
        </is>
      </c>
      <c r="F10" s="7" t="inlineStr">
        <is>
          <t>否</t>
        </is>
      </c>
      <c r="G10" s="7" t="inlineStr">
        <is>
          <t>趨勢線改用 SMA(n)，n = 170/190/210/230</t>
        </is>
      </c>
      <c r="H10" s="7" t="inlineStr">
        <is>
          <t>regime line = SMA(n), n = 170/190/210/230 (the classic 200-day family) (v6.27)</t>
        </is>
      </c>
      <c r="I10" s="16" t="n">
        <v>-8.74</v>
      </c>
      <c r="J10" s="7" t="inlineStr">
        <is>
          <t>0/5</t>
        </is>
      </c>
      <c r="K10" s="7" t="inlineStr"/>
      <c r="L10" s="10" t="n">
        <v>0.018</v>
      </c>
      <c r="M10" s="10" t="n">
        <v>-0.329</v>
      </c>
      <c r="N10" s="7" t="inlineStr">
        <is>
          <t>QUAN-888</t>
        </is>
      </c>
      <c r="O10" s="7" t="inlineStr">
        <is>
          <t>EXP-036-sma-regime.md</t>
        </is>
      </c>
    </row>
    <row r="11">
      <c r="A11" s="7" t="inlineStr">
        <is>
          <t>EXP-037</t>
        </is>
      </c>
      <c r="B11" s="7" t="inlineStr">
        <is>
          <t>v6.28</t>
        </is>
      </c>
      <c r="C11" s="7" t="inlineStr">
        <is>
          <t>開發期淘汰</t>
        </is>
      </c>
      <c r="D11" s="7" t="inlineStr">
        <is>
          <t>否</t>
        </is>
      </c>
      <c r="E11" s="7" t="inlineStr">
        <is>
          <t>dev + holdout</t>
        </is>
      </c>
      <c r="F11" s="7" t="inlineStr">
        <is>
          <t>否</t>
        </is>
      </c>
      <c r="G11" s="7" t="inlineStr">
        <is>
          <t>趨勢線改用 Ichimoku 雲頂</t>
        </is>
      </c>
      <c r="H11" s="7" t="inlineStr">
        <is>
          <t>regime line = top of the Ichimoku cloud, standard periods scaled 1x..2.5x (v6.28)</t>
        </is>
      </c>
      <c r="I11" s="16" t="n">
        <v>-6.12</v>
      </c>
      <c r="J11" s="7" t="inlineStr">
        <is>
          <t>0/5</t>
        </is>
      </c>
      <c r="K11" s="7" t="inlineStr"/>
      <c r="L11" s="10" t="n">
        <v>0.07099999999999999</v>
      </c>
      <c r="M11" s="10" t="n">
        <v>-0.284</v>
      </c>
      <c r="N11" s="7" t="inlineStr">
        <is>
          <t>QUAN-889</t>
        </is>
      </c>
      <c r="O11" s="7" t="inlineStr">
        <is>
          <t>EXP-037-ichimoku-regime.md</t>
        </is>
      </c>
    </row>
    <row r="12">
      <c r="A12" s="7" t="inlineStr">
        <is>
          <t>EXP-038</t>
        </is>
      </c>
      <c r="B12" s="7" t="inlineStr">
        <is>
          <t>v6.29</t>
        </is>
      </c>
      <c r="C12" s="7" t="inlineStr">
        <is>
          <t>開發期淘汰</t>
        </is>
      </c>
      <c r="D12" s="7" t="inlineStr">
        <is>
          <t>否</t>
        </is>
      </c>
      <c r="E12" s="7" t="inlineStr">
        <is>
          <t>dev + holdout</t>
        </is>
      </c>
      <c r="F12" s="7" t="inlineStr">
        <is>
          <t>否</t>
        </is>
      </c>
      <c r="G12" s="7" t="inlineStr">
        <is>
          <t>趨勢判斷改用 Aroon Up(n) &gt; Aroon Down(n)</t>
        </is>
      </c>
      <c r="H12" s="7" t="inlineStr">
        <is>
          <t>regime = Aroon Up(n) &gt; Aroon Down(n), n = 90/100/110/120 (v6.29)</t>
        </is>
      </c>
      <c r="I12" s="16" t="n">
        <v>-10.31</v>
      </c>
      <c r="J12" s="7" t="inlineStr">
        <is>
          <t>2/5</t>
        </is>
      </c>
      <c r="K12" s="7" t="inlineStr"/>
      <c r="L12" s="10" t="n">
        <v>0.021</v>
      </c>
      <c r="M12" s="10" t="n">
        <v>-0.376</v>
      </c>
      <c r="N12" s="7" t="inlineStr">
        <is>
          <t>QUAN-890</t>
        </is>
      </c>
      <c r="O12" s="7" t="inlineStr">
        <is>
          <t>EXP-038-aroon-regime.md</t>
        </is>
      </c>
    </row>
    <row r="13">
      <c r="A13" s="7" t="inlineStr">
        <is>
          <t>EXP-039</t>
        </is>
      </c>
      <c r="B13" s="7" t="inlineStr">
        <is>
          <t>v6.30</t>
        </is>
      </c>
      <c r="C13" s="7" t="inlineStr">
        <is>
          <t>開發期淘汰</t>
        </is>
      </c>
      <c r="D13" s="7" t="inlineStr">
        <is>
          <t>否</t>
        </is>
      </c>
      <c r="E13" s="7" t="inlineStr">
        <is>
          <t>dev + holdout</t>
        </is>
      </c>
      <c r="F13" s="7" t="inlineStr">
        <is>
          <t>否</t>
        </is>
      </c>
      <c r="G13" s="7" t="inlineStr">
        <is>
          <t>趨勢判斷改用收盤價在 n 日高點 20% 以內</t>
        </is>
      </c>
      <c r="H13" s="7" t="inlineStr">
        <is>
          <t>regime = close within 20% of its n-day high, n = 90/100/110/120 (v6.30)</t>
        </is>
      </c>
      <c r="I13" s="16" t="n">
        <v>-6.19</v>
      </c>
      <c r="J13" s="7" t="inlineStr">
        <is>
          <t>2/5</t>
        </is>
      </c>
      <c r="K13" s="7" t="inlineStr"/>
      <c r="L13" s="10" t="n">
        <v>0.105</v>
      </c>
      <c r="M13" s="10" t="n">
        <v>-0.279</v>
      </c>
      <c r="N13" s="7" t="inlineStr">
        <is>
          <t>QUAN-891</t>
        </is>
      </c>
      <c r="O13" s="7" t="inlineStr">
        <is>
          <t>EXP-039-drawdown-regime.md</t>
        </is>
      </c>
    </row>
    <row r="14">
      <c r="A14" s="7" t="inlineStr">
        <is>
          <t>EXP-040</t>
        </is>
      </c>
      <c r="B14" s="7" t="inlineStr">
        <is>
          <t>v6.29</t>
        </is>
      </c>
      <c r="C14" s="7" t="inlineStr">
        <is>
          <t>holdout 失敗</t>
        </is>
      </c>
      <c r="D14" s="7" t="inlineStr">
        <is>
          <t>否</t>
        </is>
      </c>
      <c r="E14" s="7" t="inlineStr">
        <is>
          <t>dev + holdout</t>
        </is>
      </c>
      <c r="F14" s="7" t="inlineStr">
        <is>
          <t>否</t>
        </is>
      </c>
      <c r="G14" s="7" t="inlineStr">
        <is>
          <t>Aroon 版本單獨判定為 BTC 池策略</t>
        </is>
      </c>
      <c r="H14" s="7" t="inlineStr">
        <is>
          <t>Aroon regime (v6.29) judged standalone as a BTC-pool strategy (v6.29r)</t>
        </is>
      </c>
      <c r="I14" s="16" t="n">
        <v>-10.31</v>
      </c>
      <c r="J14" s="7" t="inlineStr">
        <is>
          <t>2/5</t>
        </is>
      </c>
      <c r="K14" s="7" t="inlineStr">
        <is>
          <t>0/2 windows</t>
        </is>
      </c>
      <c r="L14" s="10" t="n">
        <v>0.021</v>
      </c>
      <c r="M14" s="10" t="n">
        <v>-0.376</v>
      </c>
      <c r="N14" s="7" t="inlineStr">
        <is>
          <t>QUAN-892</t>
        </is>
      </c>
      <c r="O14" s="7" t="inlineStr">
        <is>
          <t>EXP-040-aroon-btc-standalone.md</t>
        </is>
      </c>
    </row>
    <row r="15">
      <c r="A15" s="7" t="inlineStr">
        <is>
          <t>EXP-041</t>
        </is>
      </c>
      <c r="B15" s="7" t="inlineStr">
        <is>
          <t>v6.28</t>
        </is>
      </c>
      <c r="C15" s="7" t="inlineStr">
        <is>
          <t>holdout 失敗</t>
        </is>
      </c>
      <c r="D15" s="7" t="inlineStr">
        <is>
          <t>否</t>
        </is>
      </c>
      <c r="E15" s="7" t="inlineStr">
        <is>
          <t>dev + holdout</t>
        </is>
      </c>
      <c r="F15" s="7" t="inlineStr">
        <is>
          <t>否</t>
        </is>
      </c>
      <c r="G15" s="7" t="inlineStr">
        <is>
          <t>Ichimoku 版本單獨判定為 BTC 池策略</t>
        </is>
      </c>
      <c r="H15" s="7" t="inlineStr">
        <is>
          <t>Ichimoku-cloud regime (v6.28) judged standalone as a BTC-pool strategy (v6.28r)</t>
        </is>
      </c>
      <c r="I15" s="16" t="n">
        <v>-6.12</v>
      </c>
      <c r="J15" s="7" t="inlineStr">
        <is>
          <t>0/5</t>
        </is>
      </c>
      <c r="K15" s="7" t="inlineStr">
        <is>
          <t>0/2 windows</t>
        </is>
      </c>
      <c r="L15" s="10" t="n">
        <v>0.07099999999999999</v>
      </c>
      <c r="M15" s="10" t="n">
        <v>-0.284</v>
      </c>
      <c r="N15" s="7" t="inlineStr">
        <is>
          <t>QUAN-893</t>
        </is>
      </c>
      <c r="O15" s="7" t="inlineStr">
        <is>
          <t>EXP-041-ichimoku-btc-standalone.md</t>
        </is>
      </c>
    </row>
    <row r="16">
      <c r="A16" s="7" t="inlineStr">
        <is>
          <t>EXP-042</t>
        </is>
      </c>
      <c r="B16" s="7" t="inlineStr">
        <is>
          <t>v6.27</t>
        </is>
      </c>
      <c r="C16" s="7" t="inlineStr">
        <is>
          <t>holdout 失敗</t>
        </is>
      </c>
      <c r="D16" s="7" t="inlineStr">
        <is>
          <t>否</t>
        </is>
      </c>
      <c r="E16" s="7" t="inlineStr">
        <is>
          <t>dev + holdout</t>
        </is>
      </c>
      <c r="F16" s="7" t="inlineStr">
        <is>
          <t>否</t>
        </is>
      </c>
      <c r="G16" s="7" t="inlineStr">
        <is>
          <t>SMA200 系列單獨判定為 BTC 池策略</t>
        </is>
      </c>
      <c r="H16" s="7" t="inlineStr">
        <is>
          <t>SMA(200 family) regime (v6.27) judged standalone as a BTC-pool strategy (v6.27r)</t>
        </is>
      </c>
      <c r="I16" s="16" t="n">
        <v>-8.74</v>
      </c>
      <c r="J16" s="7" t="inlineStr">
        <is>
          <t>0/5</t>
        </is>
      </c>
      <c r="K16" s="7" t="inlineStr">
        <is>
          <t>0/2 windows</t>
        </is>
      </c>
      <c r="L16" s="10" t="n">
        <v>0.018</v>
      </c>
      <c r="M16" s="10" t="n">
        <v>-0.329</v>
      </c>
      <c r="N16" s="7" t="inlineStr">
        <is>
          <t>QUAN-894</t>
        </is>
      </c>
      <c r="O16" s="7" t="inlineStr">
        <is>
          <t>EXP-042-sma-btc-standalone.md</t>
        </is>
      </c>
    </row>
    <row r="17">
      <c r="A17" s="7" t="inlineStr">
        <is>
          <t>EXP-043</t>
        </is>
      </c>
      <c r="B17" s="7" t="inlineStr">
        <is>
          <t>v6.21</t>
        </is>
      </c>
      <c r="C17" s="7" t="inlineStr">
        <is>
          <t>holdout 失敗</t>
        </is>
      </c>
      <c r="D17" s="7" t="inlineStr">
        <is>
          <t>否</t>
        </is>
      </c>
      <c r="E17" s="7" t="inlineStr">
        <is>
          <t>dev + holdout</t>
        </is>
      </c>
      <c r="F17" s="7" t="inlineStr">
        <is>
          <t>否</t>
        </is>
      </c>
      <c r="G17" s="7" t="inlineStr">
        <is>
          <t>時間序列動能單獨判定為 BTC 池策略</t>
        </is>
      </c>
      <c r="H17" s="7" t="inlineStr">
        <is>
          <t>time-series-momentum regime (v6.21) judged standalone as a BTC-pool strategy (v6.21r)</t>
        </is>
      </c>
      <c r="I17" s="16" t="n">
        <v>-7.42</v>
      </c>
      <c r="J17" s="7" t="inlineStr">
        <is>
          <t>1/5</t>
        </is>
      </c>
      <c r="K17" s="7" t="inlineStr">
        <is>
          <t>0/2 windows</t>
        </is>
      </c>
      <c r="L17" s="10" t="n">
        <v>0.04</v>
      </c>
      <c r="M17" s="10" t="n">
        <v>-0.326</v>
      </c>
      <c r="N17" s="7" t="inlineStr">
        <is>
          <t>QUAN-895</t>
        </is>
      </c>
      <c r="O17" s="7" t="inlineStr">
        <is>
          <t>EXP-043-roc-btc-standalone.md</t>
        </is>
      </c>
    </row>
    <row r="18">
      <c r="A18" s="7" t="inlineStr">
        <is>
          <t>EXP-050</t>
        </is>
      </c>
      <c r="B18" s="7" t="inlineStr">
        <is>
          <t>v6.37</t>
        </is>
      </c>
      <c r="C18" s="7" t="inlineStr">
        <is>
          <t>開發期淘汰</t>
        </is>
      </c>
      <c r="D18" s="7" t="inlineStr">
        <is>
          <t>否</t>
        </is>
      </c>
      <c r="E18" s="7" t="inlineStr">
        <is>
          <t>dev + holdout</t>
        </is>
      </c>
      <c r="F18" s="7" t="inlineStr">
        <is>
          <t>否</t>
        </is>
      </c>
      <c r="G18" s="7" t="inlineStr">
        <is>
          <t>ETH 50% + EMA / Donchian 共識</t>
        </is>
      </c>
      <c r="H18" s="7" t="inlineStr">
        <is>
          <t>ETH share 50% + EMA/Donchian consensus regime (v6.37)</t>
        </is>
      </c>
      <c r="I18" s="16" t="n">
        <v>-3.18</v>
      </c>
      <c r="J18" s="7" t="inlineStr">
        <is>
          <t>1/5</t>
        </is>
      </c>
      <c r="K18" s="7" t="inlineStr"/>
      <c r="L18" s="10" t="n">
        <v>0.134</v>
      </c>
      <c r="M18" s="10" t="n">
        <v>-0.177</v>
      </c>
      <c r="N18" s="7" t="inlineStr">
        <is>
          <t>QUAN-902</t>
        </is>
      </c>
      <c r="O18" s="7" t="inlineStr">
        <is>
          <t>EXP-050-share50-consensus.md</t>
        </is>
      </c>
    </row>
    <row r="20">
      <c r="A20" s="20" t="inlineStr">
        <is>
          <t>訊號線：把 EMA 換成別的趨勢線（Donchian、SMA、Aroon、Ichimoku…）</t>
        </is>
      </c>
    </row>
    <row r="21">
      <c r="A21" s="5" t="inlineStr">
        <is>
          <t>結論：EMA 換成別的趨勢線都沒贏；Donchian 只在單獨等級通過</t>
        </is>
      </c>
    </row>
    <row r="22">
      <c r="A22" s="2" t="inlineStr">
        <is>
          <t>綠底 = 通過。ETH 連續 CAGR / 回撤是 registry 記錄的 ETH 連續回測；全歷史判定的逐池數字見各 EXP 文件。</t>
        </is>
      </c>
    </row>
  </sheetData>
  <autoFilter ref="A1:O18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EXP-012</t>
        </is>
      </c>
      <c r="B2" s="7" t="inlineStr">
        <is>
          <t>v6.9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手續費 vs LVR 閘門：7 日每單位流動性手續費 &lt; LVR 時 F = 0</t>
        </is>
      </c>
      <c r="H2" s="7" t="inlineStr">
        <is>
          <t>fee-vs-LVR gate: F = 0 while 7-day pool fees per unit liquidity &lt; LVR (v6.9)</t>
        </is>
      </c>
      <c r="I2" s="16" t="n">
        <v>-2.18</v>
      </c>
      <c r="J2" s="7" t="inlineStr">
        <is>
          <t>0/5</t>
        </is>
      </c>
      <c r="K2" s="7" t="inlineStr"/>
      <c r="L2" s="10" t="n">
        <v>0.064</v>
      </c>
      <c r="M2" s="10" t="n">
        <v>-0.254</v>
      </c>
      <c r="N2" s="7" t="inlineStr">
        <is>
          <t>QUAN-856</t>
        </is>
      </c>
      <c r="O2" s="7" t="inlineStr">
        <is>
          <t>EXP-012-fee-lvr-gate.md</t>
        </is>
      </c>
    </row>
    <row r="3">
      <c r="A3" s="7" t="inlineStr">
        <is>
          <t>EXP-022</t>
        </is>
      </c>
      <c r="B3" s="7" t="inlineStr">
        <is>
          <t>v6.17</t>
        </is>
      </c>
      <c r="C3" s="7" t="inlineStr">
        <is>
          <t>開發期淘汰</t>
        </is>
      </c>
      <c r="D3" s="7" t="inlineStr">
        <is>
          <t>否</t>
        </is>
      </c>
      <c r="E3" s="7" t="inlineStr">
        <is>
          <t>dev + holdout</t>
        </is>
      </c>
      <c r="F3" s="7" t="inlineStr">
        <is>
          <t>否</t>
        </is>
      </c>
      <c r="G3" s="7" t="inlineStr">
        <is>
          <t>LP 手續費再投入梯子（複利），不領出</t>
        </is>
      </c>
      <c r="H3" s="7" t="inlineStr">
        <is>
          <t>LP fees redeployed into the ladder instead of paid out (v6.17)</t>
        </is>
      </c>
      <c r="I3" s="16" t="n">
        <v>0.46</v>
      </c>
      <c r="J3" s="7" t="inlineStr">
        <is>
          <t>3/5</t>
        </is>
      </c>
      <c r="K3" s="7" t="inlineStr"/>
      <c r="L3" s="10" t="n">
        <v>0.199</v>
      </c>
      <c r="M3" s="10" t="n">
        <v>-0.325</v>
      </c>
      <c r="N3" s="7" t="inlineStr">
        <is>
          <t>QUAN-873</t>
        </is>
      </c>
      <c r="O3" s="7" t="inlineStr">
        <is>
          <t>EXP-022-fee-compounding.md</t>
        </is>
      </c>
    </row>
    <row r="4">
      <c r="A4" s="7" t="inlineStr">
        <is>
          <t>EXP-028</t>
        </is>
      </c>
      <c r="B4" s="7" t="inlineStr">
        <is>
          <t>v6.23</t>
        </is>
      </c>
      <c r="C4" s="7" t="inlineStr">
        <is>
          <t>開發期淘汰</t>
        </is>
      </c>
      <c r="D4" s="7" t="inlineStr">
        <is>
          <t>否</t>
        </is>
      </c>
      <c r="E4" s="7" t="inlineStr">
        <is>
          <t>dev + holdout</t>
        </is>
      </c>
      <c r="F4" s="7" t="inlineStr">
        <is>
          <t>否</t>
        </is>
      </c>
      <c r="G4" s="7" t="inlineStr">
        <is>
          <t>F = 8 個帳戶平均（4 個 EMA、4 個 Donchian 中線）</t>
        </is>
      </c>
      <c r="H4" s="7" t="inlineStr">
        <is>
          <t>F = mean of 8 accounts (4 on EMA(n), 4 on the Donchian midpoint(n)) (v6.23)</t>
        </is>
      </c>
      <c r="I4" s="16" t="n">
        <v>4.53</v>
      </c>
      <c r="J4" s="7" t="inlineStr">
        <is>
          <t>3/5</t>
        </is>
      </c>
      <c r="K4" s="7" t="inlineStr"/>
      <c r="L4" s="10" t="n">
        <v>0.157</v>
      </c>
      <c r="M4" s="10" t="n">
        <v>-0.215</v>
      </c>
      <c r="N4" s="7" t="inlineStr">
        <is>
          <t>QUAN-880</t>
        </is>
      </c>
      <c r="O4" s="7" t="inlineStr">
        <is>
          <t>EXP-028-ensemble-ema-donchian.md</t>
        </is>
      </c>
    </row>
    <row r="5">
      <c r="A5" s="7" t="inlineStr">
        <is>
          <t>EXP-045</t>
        </is>
      </c>
      <c r="B5" s="7" t="inlineStr">
        <is>
          <t>v6.32</t>
        </is>
      </c>
      <c r="C5" s="7" t="inlineStr">
        <is>
          <t>開發期淘汰</t>
        </is>
      </c>
      <c r="D5" s="7" t="inlineStr">
        <is>
          <t>否</t>
        </is>
      </c>
      <c r="E5" s="7" t="inlineStr">
        <is>
          <t>dev + holdout</t>
        </is>
      </c>
      <c r="F5" s="7" t="inlineStr">
        <is>
          <t>否</t>
        </is>
      </c>
      <c r="G5" s="7" t="inlineStr">
        <is>
          <t>F 每週讀一次（用週日的值）</t>
        </is>
      </c>
      <c r="H5" s="7" t="inlineStr">
        <is>
          <t>signal engine's F read once a week (Sunday value held) (v6.32)</t>
        </is>
      </c>
      <c r="I5" s="16" t="n">
        <v>0.24</v>
      </c>
      <c r="J5" s="7" t="inlineStr">
        <is>
          <t>3/5</t>
        </is>
      </c>
      <c r="K5" s="7" t="inlineStr"/>
      <c r="L5" s="10" t="n">
        <v>0.106</v>
      </c>
      <c r="M5" s="10" t="n">
        <v>-0.251</v>
      </c>
      <c r="N5" s="7" t="inlineStr">
        <is>
          <t>QUAN-897</t>
        </is>
      </c>
      <c r="O5" s="7" t="inlineStr">
        <is>
          <t>EXP-045-weekly-f.md</t>
        </is>
      </c>
    </row>
    <row r="6">
      <c r="A6" s="7" t="inlineStr">
        <is>
          <t>EXP-047</t>
        </is>
      </c>
      <c r="B6" s="7" t="inlineStr">
        <is>
          <t>v6.34</t>
        </is>
      </c>
      <c r="C6" s="7" t="inlineStr">
        <is>
          <t>開發期淘汰</t>
        </is>
      </c>
      <c r="D6" s="7" t="inlineStr">
        <is>
          <t>否</t>
        </is>
      </c>
      <c r="E6" s="7" t="inlineStr">
        <is>
          <t>dev + holdout</t>
        </is>
      </c>
      <c r="F6" s="7" t="inlineStr">
        <is>
          <t>否</t>
        </is>
      </c>
      <c r="G6" s="7" t="inlineStr">
        <is>
          <t>F 不低於 25%（永遠保留一個回補階段）</t>
        </is>
      </c>
      <c r="H6" s="7" t="inlineStr">
        <is>
          <t>F never below 25% (one refill stage always deployed) (v6.34)</t>
        </is>
      </c>
      <c r="I6" s="16" t="n">
        <v>-4.99</v>
      </c>
      <c r="J6" s="7" t="inlineStr">
        <is>
          <t>1/5</t>
        </is>
      </c>
      <c r="K6" s="7" t="inlineStr"/>
      <c r="L6" s="10" t="n">
        <v>0.096</v>
      </c>
      <c r="M6" s="10" t="n">
        <v>-0.228</v>
      </c>
      <c r="N6" s="7" t="inlineStr">
        <is>
          <t>QUAN-899</t>
        </is>
      </c>
      <c r="O6" s="7" t="inlineStr">
        <is>
          <t>EXP-047-f-floor.md</t>
        </is>
      </c>
    </row>
    <row r="7">
      <c r="A7" s="7" t="inlineStr">
        <is>
          <t>EXP-053</t>
        </is>
      </c>
      <c r="B7" s="7" t="inlineStr">
        <is>
          <t>v6.40</t>
        </is>
      </c>
      <c r="C7" s="7" t="inlineStr">
        <is>
          <t>開發期淘汰</t>
        </is>
      </c>
      <c r="D7" s="7" t="inlineStr">
        <is>
          <t>否</t>
        </is>
      </c>
      <c r="E7" s="7" t="inlineStr">
        <is>
          <t>dev + holdout</t>
        </is>
      </c>
      <c r="F7" s="7" t="inlineStr">
        <is>
          <t>否</t>
        </is>
      </c>
      <c r="G7" s="7" t="inlineStr">
        <is>
          <t>收盤在100日均線下時，近14天波動越大就把部署比例縮得越小</t>
        </is>
      </c>
      <c r="H7" s="7" t="inlineStr">
        <is>
          <t>downside volatility targeting: F x min(1, sigma*/sigma_14) while close &lt;= EMA100 (v6.40)</t>
        </is>
      </c>
      <c r="I7" s="16" t="n">
        <v>-0.77</v>
      </c>
      <c r="J7" s="7" t="inlineStr">
        <is>
          <t>1/5</t>
        </is>
      </c>
      <c r="K7" s="7" t="inlineStr"/>
      <c r="L7" s="10" t="n">
        <v>0.123</v>
      </c>
      <c r="M7" s="10" t="n">
        <v>-0.23</v>
      </c>
      <c r="N7" s="7" t="inlineStr">
        <is>
          <t>QUAN-934</t>
        </is>
      </c>
      <c r="O7" s="7" t="inlineStr">
        <is>
          <t>EXP-053-down-vol-target.md</t>
        </is>
      </c>
    </row>
    <row r="8">
      <c r="A8" s="7" t="inlineStr">
        <is>
          <t>EXP-054</t>
        </is>
      </c>
      <c r="B8" s="7" t="inlineStr">
        <is>
          <t>v6.41</t>
        </is>
      </c>
      <c r="C8" s="7" t="inlineStr">
        <is>
          <t>開發期淘汰</t>
        </is>
      </c>
      <c r="D8" s="7" t="inlineStr">
        <is>
          <t>否</t>
        </is>
      </c>
      <c r="E8" s="7" t="inlineStr">
        <is>
          <t>dev + holdout</t>
        </is>
      </c>
      <c r="F8" s="7" t="inlineStr">
        <is>
          <t>否</t>
        </is>
      </c>
      <c r="G8" s="7" t="inlineStr">
        <is>
          <t>近30天走勢太盤整（漲跌來回、沒有方向）時，跌破均線先不出場</t>
        </is>
      </c>
      <c r="H8" s="7" t="inlineStr">
        <is>
          <t>EMA exit only while the 30-day efficiency ratio &gt;= 1/sqrt(30) (chop gate) (v6.41)</t>
        </is>
      </c>
      <c r="I8" s="16" t="n">
        <v>-9.6</v>
      </c>
      <c r="J8" s="7" t="inlineStr">
        <is>
          <t>0/5</t>
        </is>
      </c>
      <c r="K8" s="7" t="inlineStr"/>
      <c r="L8" s="10" t="n">
        <v>0.066</v>
      </c>
      <c r="M8" s="10" t="n">
        <v>-0.279</v>
      </c>
      <c r="N8" s="7" t="inlineStr">
        <is>
          <t>QUAN-935</t>
        </is>
      </c>
      <c r="O8" s="7" t="inlineStr">
        <is>
          <t>EXP-054-er-chop-gate.md</t>
        </is>
      </c>
    </row>
    <row r="9">
      <c r="A9" s="7" t="inlineStr">
        <is>
          <t>EXP-064</t>
        </is>
      </c>
      <c r="B9" s="7" t="inlineStr">
        <is>
          <t>v6.51</t>
        </is>
      </c>
      <c r="C9" s="7" t="inlineStr">
        <is>
          <t>開發期淘汰</t>
        </is>
      </c>
      <c r="D9" s="7" t="inlineStr">
        <is>
          <t>否</t>
        </is>
      </c>
      <c r="E9" s="7" t="inlineStr">
        <is>
          <t>dev + holdout</t>
        </is>
      </c>
      <c r="F9" s="7" t="inlineStr">
        <is>
          <t>否</t>
        </is>
      </c>
      <c r="G9" s="7" t="inlineStr">
        <is>
          <t>淨值從歷史高點回落時按比例縮小部署比例，回落20%就全部撤出</t>
        </is>
      </c>
      <c r="H9" s="7" t="inlineStr">
        <is>
          <t>CPPI floor: F x clip((W/HWM - 0.8)/0.2) on the strategy's own net value (v6.51)</t>
        </is>
      </c>
      <c r="I9" s="16" t="n">
        <v>-1.67</v>
      </c>
      <c r="J9" s="7" t="inlineStr">
        <is>
          <t>2/5</t>
        </is>
      </c>
      <c r="K9" s="7" t="inlineStr"/>
      <c r="L9" s="10" t="n">
        <v>0.08400000000000001</v>
      </c>
      <c r="M9" s="10" t="n">
        <v>-0.182</v>
      </c>
      <c r="N9" s="7" t="inlineStr">
        <is>
          <t>QUAN-946</t>
        </is>
      </c>
      <c r="O9" s="7" t="inlineStr">
        <is>
          <t>EXP-064-cppi-floor.md</t>
        </is>
      </c>
    </row>
    <row r="10">
      <c r="A10" s="7" t="inlineStr">
        <is>
          <t>EXP-067</t>
        </is>
      </c>
      <c r="B10" s="7" t="inlineStr">
        <is>
          <t>v6.54</t>
        </is>
      </c>
      <c r="C10" s="7" t="inlineStr">
        <is>
          <t>開發期淘汰</t>
        </is>
      </c>
      <c r="D10" s="7" t="inlineStr">
        <is>
          <t>否</t>
        </is>
      </c>
      <c r="E10" s="7" t="inlineStr">
        <is>
          <t>dev + holdout</t>
        </is>
      </c>
      <c r="F10" s="7" t="inlineStr">
        <is>
          <t>否</t>
        </is>
      </c>
      <c r="G10" s="7" t="inlineStr">
        <is>
          <t>只有站回均線上方時才分段補倉，看跌破後就開始補倉是否真的需要</t>
        </is>
      </c>
      <c r="H10" s="7" t="inlineStr">
        <is>
          <t>staged refill only while the account is above its EMA (ablation) (v6.54)</t>
        </is>
      </c>
      <c r="I10" s="16" t="n">
        <v>-18.98</v>
      </c>
      <c r="J10" s="7" t="inlineStr">
        <is>
          <t>0/5</t>
        </is>
      </c>
      <c r="K10" s="7" t="inlineStr"/>
      <c r="L10" s="10" t="n">
        <v>0.021</v>
      </c>
      <c r="M10" s="10" t="n">
        <v>-0.268</v>
      </c>
      <c r="N10" s="7" t="inlineStr">
        <is>
          <t>QUAN-949</t>
        </is>
      </c>
      <c r="O10" s="7" t="inlineStr">
        <is>
          <t>EXP-067-refill-armed-only.md</t>
        </is>
      </c>
    </row>
    <row r="11">
      <c r="A11" s="7" t="inlineStr">
        <is>
          <t>EXP-068</t>
        </is>
      </c>
      <c r="B11" s="7" t="inlineStr">
        <is>
          <t>v6.55</t>
        </is>
      </c>
      <c r="C11" s="7" t="inlineStr">
        <is>
          <t>開發期淘汰</t>
        </is>
      </c>
      <c r="D11" s="7" t="inlineStr">
        <is>
          <t>否</t>
        </is>
      </c>
      <c r="E11" s="7" t="inlineStr">
        <is>
          <t>dev + holdout</t>
        </is>
      </c>
      <c r="F11" s="7" t="inlineStr">
        <is>
          <t>否</t>
        </is>
      </c>
      <c r="G11" s="7" t="inlineStr">
        <is>
          <t>站回均線那天直接全額部署，拿掉分段補倉看它是否真的需要</t>
        </is>
      </c>
      <c r="H11" s="7" t="inlineStr">
        <is>
          <t>full deployment at the EMA re-arm instead of the staged refill (ablation) (v6.55)</t>
        </is>
      </c>
      <c r="I11" s="16" t="n">
        <v>-17.11</v>
      </c>
      <c r="J11" s="7" t="inlineStr">
        <is>
          <t>1/5</t>
        </is>
      </c>
      <c r="K11" s="7" t="inlineStr"/>
      <c r="L11" s="10" t="n">
        <v>0.025</v>
      </c>
      <c r="M11" s="10" t="n">
        <v>-0.319</v>
      </c>
      <c r="N11" s="7" t="inlineStr">
        <is>
          <t>QUAN-950</t>
        </is>
      </c>
      <c r="O11" s="7" t="inlineStr">
        <is>
          <t>EXP-068-rearm-full.md</t>
        </is>
      </c>
    </row>
    <row r="12">
      <c r="A12" s="7" t="inlineStr">
        <is>
          <t>EXP-069</t>
        </is>
      </c>
      <c r="B12" s="7" t="inlineStr">
        <is>
          <t>v6.56</t>
        </is>
      </c>
      <c r="C12" s="7" t="inlineStr">
        <is>
          <t>開發期淘汰</t>
        </is>
      </c>
      <c r="D12" s="7" t="inlineStr">
        <is>
          <t>否</t>
        </is>
      </c>
      <c r="E12" s="7" t="inlineStr">
        <is>
          <t>dev + holdout</t>
        </is>
      </c>
      <c r="F12" s="7" t="inlineStr">
        <is>
          <t>否</t>
        </is>
      </c>
      <c r="G12" s="7" t="inlineStr">
        <is>
          <t>拿掉「價格漲到中心價1.2倍就重新置中」這條規則，看它是否真的需要</t>
        </is>
      </c>
      <c r="H12" s="7" t="inlineStr">
        <is>
          <t>signal engine without the accounts' upper rebuild (ablation) (v6.56)</t>
        </is>
      </c>
      <c r="I12" s="16" t="n">
        <v>0</v>
      </c>
      <c r="J12" s="7" t="inlineStr">
        <is>
          <t>0/5</t>
        </is>
      </c>
      <c r="K12" s="7" t="inlineStr"/>
      <c r="L12" s="10" t="n">
        <v>0.14</v>
      </c>
      <c r="M12" s="10" t="n">
        <v>-0.228</v>
      </c>
      <c r="N12" s="7" t="inlineStr">
        <is>
          <t>QUAN-952</t>
        </is>
      </c>
      <c r="O12" s="7" t="inlineStr">
        <is>
          <t>EXP-069-no-upper-rebuild.md</t>
        </is>
      </c>
    </row>
    <row r="13">
      <c r="A13" s="7" t="inlineStr">
        <is>
          <t>EXP-076</t>
        </is>
      </c>
      <c r="B13" s="7" t="inlineStr">
        <is>
          <t>v6.63</t>
        </is>
      </c>
      <c r="C13" s="7" t="inlineStr">
        <is>
          <t>開發期淘汰</t>
        </is>
      </c>
      <c r="D13" s="7" t="inlineStr">
        <is>
          <t>否</t>
        </is>
      </c>
      <c r="E13" s="7" t="inlineStr">
        <is>
          <t>dev + holdout</t>
        </is>
      </c>
      <c r="F13" s="7" t="inlineStr">
        <is>
          <t>否</t>
        </is>
      </c>
      <c r="G13" s="7" t="inlineStr">
        <is>
          <t>只用一條100日均線決定部署比例，拿掉四條均線（90–120日）的組合</t>
        </is>
      </c>
      <c r="H13" s="7" t="inlineStr">
        <is>
          <t>one EMA100 account instead of four (ensemble ablation) (v6.63)</t>
        </is>
      </c>
      <c r="I13" s="16" t="n">
        <v>0.8</v>
      </c>
      <c r="J13" s="7" t="inlineStr">
        <is>
          <t>4/5</t>
        </is>
      </c>
      <c r="K13" s="7" t="inlineStr"/>
      <c r="L13" s="10" t="n">
        <v>0.134</v>
      </c>
      <c r="M13" s="10" t="n">
        <v>-0.213</v>
      </c>
      <c r="N13" s="7" t="inlineStr">
        <is>
          <t>QUAN-959</t>
        </is>
      </c>
      <c r="O13" s="7" t="inlineStr">
        <is>
          <t>EXP-076-single-account.md</t>
        </is>
      </c>
    </row>
    <row r="14">
      <c r="A14" s="7" t="inlineStr">
        <is>
          <t>EXP-077</t>
        </is>
      </c>
      <c r="B14" s="7" t="inlineStr">
        <is>
          <t>v6.64</t>
        </is>
      </c>
      <c r="C14" s="7" t="inlineStr">
        <is>
          <t>開發期淘汰</t>
        </is>
      </c>
      <c r="D14" s="7" t="inlineStr">
        <is>
          <t>否</t>
        </is>
      </c>
      <c r="E14" s="7" t="inlineStr">
        <is>
          <t>dev + holdout</t>
        </is>
      </c>
      <c r="F14" s="7" t="inlineStr">
        <is>
          <t>否</t>
        </is>
      </c>
      <c r="G14" s="7" t="inlineStr">
        <is>
          <t>部署比例改取四條均線帳戶中最低的一個，而不是四個的平均</t>
        </is>
      </c>
      <c r="H14" s="7" t="inlineStr">
        <is>
          <t>F = the lowest account's deployed fraction (aggregation ablation) (v6.64)</t>
        </is>
      </c>
      <c r="I14" s="16" t="n">
        <v>-2.92</v>
      </c>
      <c r="J14" s="7" t="inlineStr">
        <is>
          <t>2/5</t>
        </is>
      </c>
      <c r="K14" s="7" t="inlineStr"/>
      <c r="L14" s="10" t="n">
        <v>0.141</v>
      </c>
      <c r="M14" s="10" t="n">
        <v>-0.229</v>
      </c>
      <c r="N14" s="7" t="inlineStr">
        <is>
          <t>QUAN-960</t>
        </is>
      </c>
      <c r="O14" s="7" t="inlineStr">
        <is>
          <t>EXP-077-f-min.md</t>
        </is>
      </c>
    </row>
    <row r="15">
      <c r="A15" s="7" t="inlineStr">
        <is>
          <t>EXP-078</t>
        </is>
      </c>
      <c r="B15" s="7" t="inlineStr">
        <is>
          <t>v6.65</t>
        </is>
      </c>
      <c r="C15" s="7" t="inlineStr">
        <is>
          <t>開發期淘汰</t>
        </is>
      </c>
      <c r="D15" s="7" t="inlineStr">
        <is>
          <t>否</t>
        </is>
      </c>
      <c r="E15" s="7" t="inlineStr">
        <is>
          <t>dev + holdout</t>
        </is>
      </c>
      <c r="F15" s="7" t="inlineStr">
        <is>
          <t>否</t>
        </is>
      </c>
      <c r="G15" s="7" t="inlineStr">
        <is>
          <t>部署比例改取四條均線帳戶中最高的一個，而不是四個的平均</t>
        </is>
      </c>
      <c r="H15" s="7" t="inlineStr">
        <is>
          <t>F = the highest account's deployed fraction (aggregation ablation) (v6.65)</t>
        </is>
      </c>
      <c r="I15" s="16" t="n">
        <v>-3.71</v>
      </c>
      <c r="J15" s="7" t="inlineStr">
        <is>
          <t>1/5</t>
        </is>
      </c>
      <c r="K15" s="7" t="inlineStr"/>
      <c r="L15" s="10" t="n">
        <v>0.111</v>
      </c>
      <c r="M15" s="10" t="n">
        <v>-0.231</v>
      </c>
      <c r="N15" s="7" t="inlineStr">
        <is>
          <t>QUAN-961</t>
        </is>
      </c>
      <c r="O15" s="7" t="inlineStr">
        <is>
          <t>EXP-078-f-max.md</t>
        </is>
      </c>
    </row>
    <row r="16">
      <c r="A16" s="7" t="inlineStr">
        <is>
          <t>EXP-079</t>
        </is>
      </c>
      <c r="B16" s="7" t="inlineStr">
        <is>
          <t>v6.66</t>
        </is>
      </c>
      <c r="C16" s="7" t="inlineStr">
        <is>
          <t>開發期淘汰</t>
        </is>
      </c>
      <c r="D16" s="7" t="inlineStr">
        <is>
          <t>否</t>
        </is>
      </c>
      <c r="E16" s="7" t="inlineStr">
        <is>
          <t>dev + holdout</t>
        </is>
      </c>
      <c r="F16" s="7" t="inlineStr">
        <is>
          <t>否</t>
        </is>
      </c>
      <c r="G16" s="7" t="inlineStr">
        <is>
          <t>只要任一條均線帳戶有部署，就把整個流動性區間全額放滿，否則全撤</t>
        </is>
      </c>
      <c r="H16" s="7" t="inlineStr">
        <is>
          <t>full ladder while any account is deployed (binarisation ablation) (v6.66)</t>
        </is>
      </c>
      <c r="I16" s="16" t="n">
        <v>-7.92</v>
      </c>
      <c r="J16" s="7" t="inlineStr">
        <is>
          <t>2/5</t>
        </is>
      </c>
      <c r="K16" s="7" t="inlineStr"/>
      <c r="L16" s="10" t="n">
        <v>0.057</v>
      </c>
      <c r="M16" s="10" t="n">
        <v>-0.243</v>
      </c>
      <c r="N16" s="7" t="inlineStr">
        <is>
          <t>QUAN-962</t>
        </is>
      </c>
      <c r="O16" s="7" t="inlineStr">
        <is>
          <t>EXP-079-f-any.md</t>
        </is>
      </c>
    </row>
    <row r="17">
      <c r="A17" s="7" t="inlineStr">
        <is>
          <t>EXP-080</t>
        </is>
      </c>
      <c r="B17" s="7" t="inlineStr">
        <is>
          <t>v6.67</t>
        </is>
      </c>
      <c r="C17" s="7" t="inlineStr">
        <is>
          <t>開發期淘汰</t>
        </is>
      </c>
      <c r="D17" s="7" t="inlineStr">
        <is>
          <t>否</t>
        </is>
      </c>
      <c r="E17" s="7" t="inlineStr">
        <is>
          <t>dev + holdout</t>
        </is>
      </c>
      <c r="F17" s="7" t="inlineStr">
        <is>
          <t>否</t>
        </is>
      </c>
      <c r="G17" s="7" t="inlineStr">
        <is>
          <t>四條均線帳戶都全額部署時才把區間放滿，其餘時候全部撤出</t>
        </is>
      </c>
      <c r="H17" s="7" t="inlineStr">
        <is>
          <t>full ladder only while every account is fully deployed (binarisation ablation) (v6.67)</t>
        </is>
      </c>
      <c r="I17" s="16" t="n">
        <v>-4.74</v>
      </c>
      <c r="J17" s="7" t="inlineStr">
        <is>
          <t>1/5</t>
        </is>
      </c>
      <c r="K17" s="7" t="inlineStr"/>
      <c r="L17" s="10" t="n">
        <v>0.142</v>
      </c>
      <c r="M17" s="10" t="n">
        <v>-0.247</v>
      </c>
      <c r="N17" s="7" t="inlineStr">
        <is>
          <t>QUAN-963</t>
        </is>
      </c>
      <c r="O17" s="7" t="inlineStr">
        <is>
          <t>EXP-080-f-all.md</t>
        </is>
      </c>
    </row>
    <row r="18">
      <c r="A18" s="7" t="inlineStr">
        <is>
          <t>EXP-081</t>
        </is>
      </c>
      <c r="B18" s="7" t="inlineStr">
        <is>
          <t>v6.68</t>
        </is>
      </c>
      <c r="C18" s="7" t="inlineStr">
        <is>
          <t>開發期淘汰</t>
        </is>
      </c>
      <c r="D18" s="7" t="inlineStr">
        <is>
          <t>否</t>
        </is>
      </c>
      <c r="E18" s="7" t="inlineStr">
        <is>
          <t>dev + holdout</t>
        </is>
      </c>
      <c r="F18" s="7" t="inlineStr">
        <is>
          <t>否</t>
        </is>
      </c>
      <c r="G18" s="7" t="inlineStr">
        <is>
          <t>補倉第一段確認後就直接全額部署，拿掉後面幾段看分段是否真的需要</t>
        </is>
      </c>
      <c r="H18" s="7" t="inlineStr">
        <is>
          <t>the first refill stage deploys the account fully (staging ablation) (v6.68)</t>
        </is>
      </c>
      <c r="I18" s="16" t="n">
        <v>1.58</v>
      </c>
      <c r="J18" s="7" t="inlineStr">
        <is>
          <t>3/5</t>
        </is>
      </c>
      <c r="K18" s="7" t="inlineStr"/>
      <c r="L18" s="10" t="n">
        <v>0.078</v>
      </c>
      <c r="M18" s="10" t="n">
        <v>-0.3</v>
      </c>
      <c r="N18" s="7" t="inlineStr">
        <is>
          <t>QUAN-964</t>
        </is>
      </c>
      <c r="O18" s="7" t="inlineStr">
        <is>
          <t>EXP-081-refill-one-stage.md</t>
        </is>
      </c>
    </row>
    <row r="19">
      <c r="A19" s="7" t="inlineStr">
        <is>
          <t>EXP-085</t>
        </is>
      </c>
      <c r="B19" s="7" t="inlineStr">
        <is>
          <t>v6.72</t>
        </is>
      </c>
      <c r="C19" s="7" t="inlineStr">
        <is>
          <t>開發期淘汰</t>
        </is>
      </c>
      <c r="D19" s="7" t="inlineStr">
        <is>
          <t>否</t>
        </is>
      </c>
      <c r="E19" s="7" t="inlineStr">
        <is>
          <t>dev + holdout</t>
        </is>
      </c>
      <c r="F19" s="7" t="inlineStr">
        <is>
          <t>否</t>
        </is>
      </c>
      <c r="G19" s="7" t="inlineStr">
        <is>
          <t>資金費率過熱（近3天均值超過基準3倍）時，部署比例上限壓到50%</t>
        </is>
      </c>
      <c r="H19" s="7" t="inlineStr">
        <is>
          <t>F capped at 50% while funding is overheated (v6.72)</t>
        </is>
      </c>
      <c r="I19" s="16" t="n">
        <v>0</v>
      </c>
      <c r="J19" s="7" t="inlineStr">
        <is>
          <t>1/5</t>
        </is>
      </c>
      <c r="K19" s="7" t="inlineStr"/>
      <c r="L19" s="10" t="n">
        <v>0.149</v>
      </c>
      <c r="M19" s="10" t="n">
        <v>-0.194</v>
      </c>
      <c r="N19" s="7" t="inlineStr">
        <is>
          <t>QUAN-969</t>
        </is>
      </c>
      <c r="O19" s="7" t="inlineStr">
        <is>
          <t>EXP-085-funding-cap.md</t>
        </is>
      </c>
    </row>
    <row r="20">
      <c r="A20" s="7" t="inlineStr">
        <is>
          <t>EXP-089</t>
        </is>
      </c>
      <c r="B20" s="7" t="inlineStr">
        <is>
          <t>v6.76</t>
        </is>
      </c>
      <c r="C20" s="7" t="inlineStr">
        <is>
          <t>開發期淘汰</t>
        </is>
      </c>
      <c r="D20" s="7" t="inlineStr">
        <is>
          <t>否</t>
        </is>
      </c>
      <c r="E20" s="7" t="inlineStr">
        <is>
          <t>dev + holdout</t>
        </is>
      </c>
      <c r="F20" s="7" t="inlineStr">
        <is>
          <t>否</t>
        </is>
      </c>
      <c r="G20" s="7" t="inlineStr">
        <is>
          <t>均線和部署比例改用每天的平均價計算，不再用每天0點的價格</t>
        </is>
      </c>
      <c r="H20" s="7" t="inlineStr">
        <is>
          <t>engine on the daily TWAP instead of the 00:00 price (v6.76)</t>
        </is>
      </c>
      <c r="I20" s="16" t="n">
        <v>-0.34</v>
      </c>
      <c r="J20" s="7" t="inlineStr">
        <is>
          <t>2/5</t>
        </is>
      </c>
      <c r="K20" s="7" t="inlineStr"/>
      <c r="L20" s="10" t="n">
        <v>0.134</v>
      </c>
      <c r="M20" s="10" t="n">
        <v>-0.25</v>
      </c>
      <c r="N20" s="7" t="inlineStr">
        <is>
          <t>QUAN-973</t>
        </is>
      </c>
      <c r="O20" s="7" t="inlineStr">
        <is>
          <t>EXP-089-twap-engine.md</t>
        </is>
      </c>
    </row>
    <row r="21">
      <c r="A21" s="7" t="inlineStr">
        <is>
          <t>EXP-091</t>
        </is>
      </c>
      <c r="B21" s="7" t="inlineStr">
        <is>
          <t>v6.78</t>
        </is>
      </c>
      <c r="C21" s="7" t="inlineStr">
        <is>
          <t>開發期淘汰</t>
        </is>
      </c>
      <c r="D21" s="7" t="inlineStr">
        <is>
          <t>否</t>
        </is>
      </c>
      <c r="E21" s="7" t="inlineStr">
        <is>
          <t>dev + holdout</t>
        </is>
      </c>
      <c r="F21" s="7" t="inlineStr">
        <is>
          <t>否</t>
        </is>
      </c>
      <c r="G21" s="7" t="inlineStr">
        <is>
          <t>部署比例不得超過自己和另一個幣（ETH 池看 BTC）部署比例的平均</t>
        </is>
      </c>
      <c r="H21" s="7" t="inlineStr">
        <is>
          <t>F capped at the mean of its own and the other asset's F (v6.78)</t>
        </is>
      </c>
      <c r="I21" s="16" t="n">
        <v>-2.73</v>
      </c>
      <c r="J21" s="7" t="inlineStr">
        <is>
          <t>2/5</t>
        </is>
      </c>
      <c r="K21" s="7" t="inlineStr"/>
      <c r="L21" s="10" t="n">
        <v>0.151</v>
      </c>
      <c r="M21" s="10" t="n">
        <v>-0.217</v>
      </c>
      <c r="N21" s="7" t="inlineStr">
        <is>
          <t>QUAN-975</t>
        </is>
      </c>
      <c r="O21" s="7" t="inlineStr">
        <is>
          <t>EXP-091-breadth-cap.md</t>
        </is>
      </c>
    </row>
    <row r="22">
      <c r="A22" s="7" t="inlineStr">
        <is>
          <t>EXP-105</t>
        </is>
      </c>
      <c r="B22" s="7" t="inlineStr">
        <is>
          <t>v6.92</t>
        </is>
      </c>
      <c r="C22" s="7" t="inlineStr">
        <is>
          <t>開發期淘汰</t>
        </is>
      </c>
      <c r="D22" s="7" t="inlineStr">
        <is>
          <t>否</t>
        </is>
      </c>
      <c r="E22" s="7" t="inlineStr">
        <is>
          <t>dev + holdout</t>
        </is>
      </c>
      <c r="F22" s="7" t="inlineStr">
        <is>
          <t>否</t>
        </is>
      </c>
      <c r="G22" s="7" t="inlineStr">
        <is>
          <t>池內流動性擁擠（7日均值超過90日中位數1.5倍）時，部署比例上限50%</t>
        </is>
      </c>
      <c r="H22" s="7" t="inlineStr">
        <is>
          <t>F capped at 50% while pool liquidity is crowded (v6.92)</t>
        </is>
      </c>
      <c r="I22" s="16" t="n">
        <v>-0.01</v>
      </c>
      <c r="J22" s="7" t="inlineStr">
        <is>
          <t>2/5</t>
        </is>
      </c>
      <c r="K22" s="7" t="inlineStr"/>
      <c r="L22" s="10" t="n">
        <v>0.155</v>
      </c>
      <c r="M22" s="10" t="n">
        <v>-0.17</v>
      </c>
      <c r="N22" s="7" t="inlineStr">
        <is>
          <t>QUAN-989</t>
        </is>
      </c>
      <c r="O22" s="7" t="inlineStr">
        <is>
          <t>EXP-105-crowd-cap.md</t>
        </is>
      </c>
    </row>
    <row r="24">
      <c r="A24" s="20" t="inlineStr">
        <is>
          <t>F 引擎：四帳戶怎麼算出部署比例 F、多久讀一次、下限</t>
        </is>
      </c>
    </row>
    <row r="25">
      <c r="A25" s="5" t="inlineStr">
        <is>
          <t>結論：全部失敗；四帳戶 EMA 引擎不要動</t>
        </is>
      </c>
    </row>
    <row r="26">
      <c r="A26" s="2" t="inlineStr">
        <is>
          <t>綠底 = 通過。ETH 連續 CAGR / 回撤是 registry 記錄的 ETH 連續回測；全歷史判定的逐池數字見各 EXP 文件。</t>
        </is>
      </c>
    </row>
  </sheetData>
  <autoFilter ref="A1:O22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EXP-016</t>
        </is>
      </c>
      <c r="B2" s="7" t="inlineStr">
        <is>
          <t>v6.13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毒性暫停：5 分鐘內波動 1% 後撤梯子 30 分鐘</t>
        </is>
      </c>
      <c r="H2" s="7" t="inlineStr">
        <is>
          <t>toxicity pause: pull the ladder 30 min after a 1% five-minute move (v6.13)</t>
        </is>
      </c>
      <c r="I2" s="16" t="n">
        <v>-1.9</v>
      </c>
      <c r="J2" s="7" t="inlineStr">
        <is>
          <t>2/5</t>
        </is>
      </c>
      <c r="K2" s="7" t="inlineStr"/>
      <c r="L2" s="10" t="n">
        <v>0.183</v>
      </c>
      <c r="M2" s="10" t="n">
        <v>-0.281</v>
      </c>
      <c r="N2" s="7" t="inlineStr">
        <is>
          <t>QUAN-862</t>
        </is>
      </c>
      <c r="O2" s="7" t="inlineStr">
        <is>
          <t>EXP-016-toxicity-pause.md</t>
        </is>
      </c>
    </row>
    <row r="3">
      <c r="A3" s="7" t="inlineStr">
        <is>
          <t>EXP-017</t>
        </is>
      </c>
      <c r="B3" s="7" t="inlineStr">
        <is>
          <t>v6.13r</t>
        </is>
      </c>
      <c r="C3" s="7" t="inlineStr">
        <is>
          <t>holdout 失敗</t>
        </is>
      </c>
      <c r="D3" s="7" t="inlineStr">
        <is>
          <t>否</t>
        </is>
      </c>
      <c r="E3" s="7" t="inlineStr">
        <is>
          <t>dev + holdout</t>
        </is>
      </c>
      <c r="F3" s="7" t="inlineStr">
        <is>
          <t>否</t>
        </is>
      </c>
      <c r="G3" s="7" t="inlineStr">
        <is>
          <t>v6.13 毒性暫停改用 Calmar 規則在 Base 重新判定</t>
        </is>
      </c>
      <c r="H3" s="7" t="inlineStr">
        <is>
          <t>v6.13 toxicity pause re-registered under a Calmar rule on the Base holdout (v6.13r)</t>
        </is>
      </c>
      <c r="I3" s="16" t="n">
        <v>-1.9</v>
      </c>
      <c r="J3" s="7" t="inlineStr">
        <is>
          <t>2/5</t>
        </is>
      </c>
      <c r="K3" s="7" t="inlineStr">
        <is>
          <t>1/3</t>
        </is>
      </c>
      <c r="L3" s="10" t="n">
        <v>0.183</v>
      </c>
      <c r="M3" s="10" t="n">
        <v>-0.281</v>
      </c>
      <c r="N3" s="7" t="inlineStr">
        <is>
          <t>QUAN-863</t>
        </is>
      </c>
      <c r="O3" s="7" t="inlineStr">
        <is>
          <t>EXP-017-toxicity-pause-calmar.md</t>
        </is>
      </c>
    </row>
    <row r="4">
      <c r="A4" s="17" t="inlineStr">
        <is>
          <t>EXP-044</t>
        </is>
      </c>
      <c r="B4" s="17" t="inlineStr">
        <is>
          <t>v6.31</t>
        </is>
      </c>
      <c r="C4" s="17" t="inlineStr">
        <is>
          <t>通過（holdout）</t>
        </is>
      </c>
      <c r="D4" s="17" t="inlineStr">
        <is>
          <t>是</t>
        </is>
      </c>
      <c r="E4" s="17" t="inlineStr">
        <is>
          <t>dev + holdout</t>
        </is>
      </c>
      <c r="F4" s="17" t="inlineStr">
        <is>
          <t>否</t>
        </is>
      </c>
      <c r="G4" s="17" t="inlineStr">
        <is>
          <t>連續兩天的每日檢查都在梯子外，才算出區間</t>
        </is>
      </c>
      <c r="H4" s="17" t="inlineStr">
        <is>
          <t>range exit needs two consecutive daily checks outside the ladder (v6.31)</t>
        </is>
      </c>
      <c r="I4" s="18" t="n">
        <v>-1.9</v>
      </c>
      <c r="J4" s="17" t="inlineStr">
        <is>
          <t>2/5</t>
        </is>
      </c>
      <c r="K4" s="17" t="inlineStr">
        <is>
          <t>3/3 pools (standalone)</t>
        </is>
      </c>
      <c r="L4" s="19" t="n">
        <v>0.158</v>
      </c>
      <c r="M4" s="19" t="n">
        <v>-0.198</v>
      </c>
      <c r="N4" s="17" t="inlineStr">
        <is>
          <t>QUAN-896</t>
        </is>
      </c>
      <c r="O4" s="17" t="inlineStr">
        <is>
          <t>EXP-044-exit-confirm.md</t>
        </is>
      </c>
    </row>
    <row r="5">
      <c r="A5" s="17" t="inlineStr">
        <is>
          <t>EXP-048</t>
        </is>
      </c>
      <c r="B5" s="17" t="inlineStr">
        <is>
          <t>v6.35</t>
        </is>
      </c>
      <c r="C5" s="17" t="inlineStr">
        <is>
          <t>通過（holdout）</t>
        </is>
      </c>
      <c r="D5" s="17" t="inlineStr">
        <is>
          <t>是</t>
        </is>
      </c>
      <c r="E5" s="17" t="inlineStr">
        <is>
          <t>dev + holdout</t>
        </is>
      </c>
      <c r="F5" s="17" t="inlineStr">
        <is>
          <t>否</t>
        </is>
      </c>
      <c r="G5" s="17" t="inlineStr">
        <is>
          <t>ETH 50% + 兩天確認出區間</t>
        </is>
      </c>
      <c r="H5" s="17" t="inlineStr">
        <is>
          <t>ETH share 50% + range exit needs two consecutive daily checks (v6.35)</t>
        </is>
      </c>
      <c r="I5" s="18" t="n">
        <v>-4.14</v>
      </c>
      <c r="J5" s="17" t="inlineStr">
        <is>
          <t>2/5</t>
        </is>
      </c>
      <c r="K5" s="17" t="inlineStr">
        <is>
          <t>3/3 pools (standalone)</t>
        </is>
      </c>
      <c r="L5" s="19" t="n">
        <v>0.153</v>
      </c>
      <c r="M5" s="19" t="n">
        <v>-0.161</v>
      </c>
      <c r="N5" s="17" t="inlineStr">
        <is>
          <t>QUAN-900</t>
        </is>
      </c>
      <c r="O5" s="17" t="inlineStr">
        <is>
          <t>EXP-048-share50-exit-confirm.md</t>
        </is>
      </c>
    </row>
    <row r="6">
      <c r="A6" s="7" t="inlineStr">
        <is>
          <t>EXP-056</t>
        </is>
      </c>
      <c r="B6" s="7" t="inlineStr">
        <is>
          <t>v6.43</t>
        </is>
      </c>
      <c r="C6" s="7" t="inlineStr">
        <is>
          <t>開發期淘汰</t>
        </is>
      </c>
      <c r="D6" s="7" t="inlineStr">
        <is>
          <t>否</t>
        </is>
      </c>
      <c r="E6" s="7" t="inlineStr">
        <is>
          <t>dev + holdout</t>
        </is>
      </c>
      <c r="F6" s="7" t="inlineStr">
        <is>
          <t>否</t>
        </is>
      </c>
      <c r="G6" s="7" t="inlineStr">
        <is>
          <t>檢查價格是否跑出區間改成每小時一次，而不是每天只檢查一次</t>
        </is>
      </c>
      <c r="H6" s="7" t="inlineStr">
        <is>
          <t>range-exit check every hour instead of once a day (v6.43)</t>
        </is>
      </c>
      <c r="I6" s="16" t="n">
        <v>-0.05</v>
      </c>
      <c r="J6" s="7" t="inlineStr">
        <is>
          <t>2/5</t>
        </is>
      </c>
      <c r="K6" s="7" t="inlineStr"/>
      <c r="L6" s="10" t="n">
        <v>0.116</v>
      </c>
      <c r="M6" s="10" t="n">
        <v>-0.233</v>
      </c>
      <c r="N6" s="7" t="inlineStr">
        <is>
          <t>QUAN-938</t>
        </is>
      </c>
      <c r="O6" s="7" t="inlineStr">
        <is>
          <t>EXP-056-exit-check-hourly.md</t>
        </is>
      </c>
    </row>
    <row r="7">
      <c r="A7" s="7" t="inlineStr">
        <is>
          <t>EXP-066</t>
        </is>
      </c>
      <c r="B7" s="7" t="inlineStr">
        <is>
          <t>v6.53</t>
        </is>
      </c>
      <c r="C7" s="7" t="inlineStr">
        <is>
          <t>holdout 失敗</t>
        </is>
      </c>
      <c r="D7" s="7" t="inlineStr">
        <is>
          <t>否</t>
        </is>
      </c>
      <c r="E7" s="7" t="inlineStr">
        <is>
          <t>dev + holdout</t>
        </is>
      </c>
      <c r="F7" s="7" t="inlineStr">
        <is>
          <t>否</t>
        </is>
      </c>
      <c r="G7" s="7" t="inlineStr">
        <is>
          <t>拿掉下方停損（跌破中心價8折就出場），看它是否真的需要</t>
        </is>
      </c>
      <c r="H7" s="7" t="inlineStr">
        <is>
          <t>signal engine without the accounts' lower stop (ablation) (v6.53)</t>
        </is>
      </c>
      <c r="I7" s="16" t="n">
        <v>0.27</v>
      </c>
      <c r="J7" s="7" t="inlineStr">
        <is>
          <t>3/5</t>
        </is>
      </c>
      <c r="K7" s="7" t="inlineStr">
        <is>
          <t>1/2 windows (time-split)</t>
        </is>
      </c>
      <c r="L7" s="10" t="n">
        <v>0.142</v>
      </c>
      <c r="M7" s="10" t="n">
        <v>-0.224</v>
      </c>
      <c r="N7" s="7" t="inlineStr">
        <is>
          <t>QUAN-948</t>
        </is>
      </c>
      <c r="O7" s="7" t="inlineStr">
        <is>
          <t>EXP-066-no-lower-stop.md</t>
        </is>
      </c>
    </row>
    <row r="8">
      <c r="A8" s="7" t="inlineStr">
        <is>
          <t>EXP-095</t>
        </is>
      </c>
      <c r="B8" s="7" t="inlineStr">
        <is>
          <t>v6.82</t>
        </is>
      </c>
      <c r="C8" s="7" t="inlineStr">
        <is>
          <t>開發期淘汰</t>
        </is>
      </c>
      <c r="D8" s="7" t="inlineStr">
        <is>
          <t>否</t>
        </is>
      </c>
      <c r="E8" s="7" t="inlineStr">
        <is>
          <t>dev + holdout</t>
        </is>
      </c>
      <c r="F8" s="7" t="inlineStr">
        <is>
          <t>否</t>
        </is>
      </c>
      <c r="G8" s="7" t="inlineStr">
        <is>
          <t>跌破均線時，要池子近3天成交量高於近30天常態才真的出場</t>
        </is>
      </c>
      <c r="H8" s="7" t="inlineStr">
        <is>
          <t>EMA exit only on pool volume above normal (v6.82)</t>
        </is>
      </c>
      <c r="I8" s="16" t="n">
        <v>-2.63</v>
      </c>
      <c r="J8" s="7" t="inlineStr">
        <is>
          <t>0/5</t>
        </is>
      </c>
      <c r="K8" s="7" t="inlineStr"/>
      <c r="L8" s="10" t="n">
        <v>0.112</v>
      </c>
      <c r="M8" s="10" t="n">
        <v>-0.231</v>
      </c>
      <c r="N8" s="7" t="inlineStr">
        <is>
          <t>QUAN-979</t>
        </is>
      </c>
      <c r="O8" s="7" t="inlineStr">
        <is>
          <t>EXP-095-exit-vol-confirm.md</t>
        </is>
      </c>
    </row>
    <row r="9">
      <c r="A9" s="7" t="inlineStr">
        <is>
          <t>EXP-097</t>
        </is>
      </c>
      <c r="B9" s="7" t="inlineStr">
        <is>
          <t>v6.84</t>
        </is>
      </c>
      <c r="C9" s="7" t="inlineStr">
        <is>
          <t>開發期淘汰</t>
        </is>
      </c>
      <c r="D9" s="7" t="inlineStr">
        <is>
          <t>否</t>
        </is>
      </c>
      <c r="E9" s="7" t="inlineStr">
        <is>
          <t>dev + holdout</t>
        </is>
      </c>
      <c r="F9" s="7" t="inlineStr">
        <is>
          <t>否</t>
        </is>
      </c>
      <c r="G9" s="7" t="inlineStr">
        <is>
          <t>整天連盤中最高價都在均線下才出場，盤中曾站回均線就先不出場</t>
        </is>
      </c>
      <c r="H9" s="7" t="inlineStr">
        <is>
          <t>EMA exit only on a full day below the EMA (v6.84)</t>
        </is>
      </c>
      <c r="I9" s="16" t="n">
        <v>-0.45</v>
      </c>
      <c r="J9" s="7" t="inlineStr">
        <is>
          <t>1/5</t>
        </is>
      </c>
      <c r="K9" s="7" t="inlineStr"/>
      <c r="L9" s="10" t="n">
        <v>0.078</v>
      </c>
      <c r="M9" s="10" t="n">
        <v>-0.318</v>
      </c>
      <c r="N9" s="7" t="inlineStr">
        <is>
          <t>QUAN-981</t>
        </is>
      </c>
      <c r="O9" s="7" t="inlineStr">
        <is>
          <t>EXP-097-exit-full-day.md</t>
        </is>
      </c>
    </row>
    <row r="10">
      <c r="A10" s="7" t="inlineStr">
        <is>
          <t>EXP-101</t>
        </is>
      </c>
      <c r="B10" s="7" t="inlineStr">
        <is>
          <t>v6.88</t>
        </is>
      </c>
      <c r="C10" s="7" t="inlineStr">
        <is>
          <t>開發期淘汰</t>
        </is>
      </c>
      <c r="D10" s="7" t="inlineStr">
        <is>
          <t>否</t>
        </is>
      </c>
      <c r="E10" s="7" t="inlineStr">
        <is>
          <t>dev + holdout</t>
        </is>
      </c>
      <c r="F10" s="7" t="inlineStr">
        <is>
          <t>否</t>
        </is>
      </c>
      <c r="G10" s="7" t="inlineStr">
        <is>
          <t>下方停損改看盤中最低價，盤中一跌破中心價8折就出場</t>
        </is>
      </c>
      <c r="H10" s="7" t="inlineStr">
        <is>
          <t>lower stop on the intraday low (v6.88)</t>
        </is>
      </c>
      <c r="I10" s="16" t="n">
        <v>0</v>
      </c>
      <c r="J10" s="7" t="inlineStr">
        <is>
          <t>0/5</t>
        </is>
      </c>
      <c r="K10" s="7" t="inlineStr"/>
      <c r="L10" s="10" t="n">
        <v>0.107</v>
      </c>
      <c r="M10" s="10" t="n">
        <v>-0.243</v>
      </c>
      <c r="N10" s="7" t="inlineStr">
        <is>
          <t>QUAN-985</t>
        </is>
      </c>
      <c r="O10" s="7" t="inlineStr">
        <is>
          <t>EXP-101-intraday-stop.md</t>
        </is>
      </c>
    </row>
    <row r="11">
      <c r="A11" s="7" t="inlineStr">
        <is>
          <t>EXP-106</t>
        </is>
      </c>
      <c r="B11" s="7" t="inlineStr">
        <is>
          <t>v6.93</t>
        </is>
      </c>
      <c r="C11" s="7" t="inlineStr">
        <is>
          <t>開發期淘汰</t>
        </is>
      </c>
      <c r="D11" s="7" t="inlineStr">
        <is>
          <t>否</t>
        </is>
      </c>
      <c r="E11" s="7" t="inlineStr">
        <is>
          <t>dev + holdout</t>
        </is>
      </c>
      <c r="F11" s="7" t="inlineStr">
        <is>
          <t>是</t>
        </is>
      </c>
      <c r="G11" s="7" t="inlineStr">
        <is>
          <t>創新低那天不補倉，且價格跑出區間要連續兩天才重新擺放</t>
        </is>
      </c>
      <c r="H11" s="7" t="inlineStr">
        <is>
          <t>v6.75 plus two-day range-exit confirmation (v6.93)</t>
        </is>
      </c>
      <c r="I11" s="16" t="n">
        <v>-2.42</v>
      </c>
      <c r="J11" s="7" t="inlineStr">
        <is>
          <t>2/5</t>
        </is>
      </c>
      <c r="K11" s="7" t="inlineStr"/>
      <c r="L11" s="10" t="n">
        <v>0.172</v>
      </c>
      <c r="M11" s="10" t="n">
        <v>-0.212</v>
      </c>
      <c r="N11" s="7" t="inlineStr">
        <is>
          <t>QUAN-990</t>
        </is>
      </c>
      <c r="O11" s="7" t="inlineStr">
        <is>
          <t>EXP-106-nolow-exit-confirm.md</t>
        </is>
      </c>
    </row>
    <row r="12">
      <c r="A12" s="7" t="inlineStr">
        <is>
          <t>EXP-161</t>
        </is>
      </c>
      <c r="B12" s="7" t="inlineStr">
        <is>
          <t>v6.146</t>
        </is>
      </c>
      <c r="C12" s="7" t="inlineStr">
        <is>
          <t>失敗（全歷史）</t>
        </is>
      </c>
      <c r="D12" s="7" t="inlineStr">
        <is>
          <t>否</t>
        </is>
      </c>
      <c r="E12" s="7" t="inlineStr">
        <is>
          <t>全歷史</t>
        </is>
      </c>
      <c r="F12" s="7" t="inlineStr">
        <is>
          <t>是</t>
        </is>
      </c>
      <c r="G12" s="7" t="inlineStr">
        <is>
          <t>創新低那天不補倉，且下方停損改看盤中最低價，盤中跌破8折就出場</t>
        </is>
      </c>
      <c r="H12" s="7" t="inlineStr">
        <is>
          <t>v6.75 + intraday lower stop on every pool on spec v1 (v6.146)</t>
        </is>
      </c>
      <c r="I12" s="7" t="n"/>
      <c r="J12" s="7" t="inlineStr"/>
      <c r="K12" s="7" t="inlineStr">
        <is>
          <t>full-history 3/7 pools (ETH 1 of 5; BTC 2 of 2)</t>
        </is>
      </c>
      <c r="L12" s="7" t="n"/>
      <c r="M12" s="7" t="n"/>
      <c r="N12" s="7" t="inlineStr">
        <is>
          <t>QUAN-1048</t>
        </is>
      </c>
      <c r="O12" s="7" t="inlineStr">
        <is>
          <t>EXP-161-nolow-istop-specv1.md</t>
        </is>
      </c>
    </row>
    <row r="13">
      <c r="A13" s="7" t="inlineStr">
        <is>
          <t>EXP-162</t>
        </is>
      </c>
      <c r="B13" s="7" t="inlineStr">
        <is>
          <t>v6.147</t>
        </is>
      </c>
      <c r="C13" s="7" t="inlineStr">
        <is>
          <t>失敗（全歷史）</t>
        </is>
      </c>
      <c r="D13" s="7" t="inlineStr">
        <is>
          <t>否</t>
        </is>
      </c>
      <c r="E13" s="7" t="inlineStr">
        <is>
          <t>全歷史</t>
        </is>
      </c>
      <c r="F13" s="7" t="inlineStr">
        <is>
          <t>是</t>
        </is>
      </c>
      <c r="G13" s="7" t="inlineStr">
        <is>
          <t>創新低那天不補倉，且價格跑出區間要連續兩天才重新擺放（新基準 spec v1）</t>
        </is>
      </c>
      <c r="H13" s="7" t="inlineStr">
        <is>
          <t>v6.75 + two-day EMA exit confirmation on every pool on spec v1 (v6.147)</t>
        </is>
      </c>
      <c r="I13" s="7" t="n"/>
      <c r="J13" s="7" t="inlineStr"/>
      <c r="K13" s="7" t="inlineStr">
        <is>
          <t>full-history 1/7 pools (ETH 1 of 5; BTC 0 of 2)</t>
        </is>
      </c>
      <c r="L13" s="7" t="n"/>
      <c r="M13" s="7" t="n"/>
      <c r="N13" s="7" t="inlineStr">
        <is>
          <t>QUAN-1049</t>
        </is>
      </c>
      <c r="O13" s="7" t="inlineStr">
        <is>
          <t>EXP-162-nolow-exit2-specv1.md</t>
        </is>
      </c>
    </row>
    <row r="15">
      <c r="A15" s="20" t="inlineStr">
        <is>
          <t>撤出 / 停損：什麼時候把 LP 撤回 USDC</t>
        </is>
      </c>
    </row>
    <row r="16">
      <c r="A16" s="5" t="inlineStr">
        <is>
          <t>結論：兩天確認單獨通過，全歷史只贏 1/7；盤中停損只對 WBTC 有用</t>
        </is>
      </c>
    </row>
    <row r="17">
      <c r="A17" s="2" t="inlineStr">
        <is>
          <t>綠底 = 通過。ETH 連續 CAGR / 回撤是 registry 記錄的 ETH 連續回測；全歷史判定的逐池數字見各 EXP 文件。</t>
        </is>
      </c>
    </row>
  </sheetData>
  <autoFilter ref="A1:O13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EXP-005</t>
        </is>
      </c>
      <c r="B2" s="7" t="inlineStr">
        <is>
          <t>v6.5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回補改用只放 USDC 的區間掛單，不用市價買</t>
        </is>
      </c>
      <c r="H2" s="7" t="inlineStr">
        <is>
          <t>refills as quote-only range orders instead of market buys (v6.5)</t>
        </is>
      </c>
      <c r="I2" s="16" t="n">
        <v>-2.34</v>
      </c>
      <c r="J2" s="7" t="inlineStr">
        <is>
          <t>1/5</t>
        </is>
      </c>
      <c r="K2" s="7" t="inlineStr"/>
      <c r="L2" s="10" t="n">
        <v>0.051</v>
      </c>
      <c r="M2" s="10" t="n">
        <v>-0.158</v>
      </c>
      <c r="N2" s="7" t="inlineStr">
        <is>
          <t>QUAN-839</t>
        </is>
      </c>
      <c r="O2" s="7" t="inlineStr">
        <is>
          <t>EXP-005-refill-range-order.md</t>
        </is>
      </c>
    </row>
    <row r="3">
      <c r="A3" s="7" t="inlineStr">
        <is>
          <t>EXP-082</t>
        </is>
      </c>
      <c r="B3" s="7" t="inlineStr">
        <is>
          <t>v6.69</t>
        </is>
      </c>
      <c r="C3" s="7" t="inlineStr">
        <is>
          <t>開發期淘汰</t>
        </is>
      </c>
      <c r="D3" s="7" t="inlineStr">
        <is>
          <t>否</t>
        </is>
      </c>
      <c r="E3" s="7" t="inlineStr">
        <is>
          <t>dev + holdout</t>
        </is>
      </c>
      <c r="F3" s="7" t="inlineStr">
        <is>
          <t>否</t>
        </is>
      </c>
      <c r="G3" s="7" t="inlineStr">
        <is>
          <t>跌破均線出場後，DVOL近3天均值低於前3天均值才允許分段補倉</t>
        </is>
      </c>
      <c r="H3" s="7" t="inlineStr">
        <is>
          <t>refill stages only while implied volatility (DVOL) is falling (v6.69)</t>
        </is>
      </c>
      <c r="I3" s="16" t="n">
        <v>-0.37</v>
      </c>
      <c r="J3" s="7" t="inlineStr">
        <is>
          <t>1/5</t>
        </is>
      </c>
      <c r="K3" s="7" t="inlineStr"/>
      <c r="L3" s="10" t="n">
        <v>0.139</v>
      </c>
      <c r="M3" s="10" t="n">
        <v>-0.22</v>
      </c>
      <c r="N3" s="7" t="inlineStr">
        <is>
          <t>QUAN-966</t>
        </is>
      </c>
      <c r="O3" s="7" t="inlineStr">
        <is>
          <t>EXP-082-dvol-falling-refill.md</t>
        </is>
      </c>
    </row>
    <row r="4">
      <c r="A4" s="7" t="inlineStr">
        <is>
          <t>EXP-083</t>
        </is>
      </c>
      <c r="B4" s="7" t="inlineStr">
        <is>
          <t>v6.70</t>
        </is>
      </c>
      <c r="C4" s="7" t="inlineStr">
        <is>
          <t>開發期淘汰</t>
        </is>
      </c>
      <c r="D4" s="7" t="inlineStr">
        <is>
          <t>否</t>
        </is>
      </c>
      <c r="E4" s="7" t="inlineStr">
        <is>
          <t>dev + holdout</t>
        </is>
      </c>
      <c r="F4" s="7" t="inlineStr">
        <is>
          <t>否</t>
        </is>
      </c>
      <c r="G4" s="7" t="inlineStr">
        <is>
          <t>資金費率7天均值為負時，補倉第一段不必等連續3天確認，反彈5%就直接放回</t>
        </is>
      </c>
      <c r="H4" s="7" t="inlineStr">
        <is>
          <t>negative funding waives the 3-day hold of the first refill stage (v6.70)</t>
        </is>
      </c>
      <c r="I4" s="16" t="n">
        <v>-0.25</v>
      </c>
      <c r="J4" s="7" t="inlineStr">
        <is>
          <t>2/5</t>
        </is>
      </c>
      <c r="K4" s="7" t="inlineStr"/>
      <c r="L4" s="10" t="n">
        <v>0.117</v>
      </c>
      <c r="M4" s="10" t="n">
        <v>-0.224</v>
      </c>
      <c r="N4" s="7" t="inlineStr">
        <is>
          <t>QUAN-967</t>
        </is>
      </c>
      <c r="O4" s="7" t="inlineStr">
        <is>
          <t>EXP-083-funding-accel-refill.md</t>
        </is>
      </c>
    </row>
    <row r="5">
      <c r="A5" s="7" t="inlineStr">
        <is>
          <t>EXP-084</t>
        </is>
      </c>
      <c r="B5" s="7" t="inlineStr">
        <is>
          <t>v6.71</t>
        </is>
      </c>
      <c r="C5" s="7" t="inlineStr">
        <is>
          <t>開發期淘汰</t>
        </is>
      </c>
      <c r="D5" s="7" t="inlineStr">
        <is>
          <t>否</t>
        </is>
      </c>
      <c r="E5" s="7" t="inlineStr">
        <is>
          <t>dev + holdout</t>
        </is>
      </c>
      <c r="F5" s="7" t="inlineStr">
        <is>
          <t>否</t>
        </is>
      </c>
      <c r="G5" s="7" t="inlineStr">
        <is>
          <t>資金費率7天均值為負時第一段補倉不用等3天，費率過熱時暫停後面幾段補倉</t>
        </is>
      </c>
      <c r="H5" s="7" t="inlineStr">
        <is>
          <t>negative-funding accelerator plus hot-funding brake on later stages (v6.71)</t>
        </is>
      </c>
      <c r="I5" s="16" t="n">
        <v>-0.25</v>
      </c>
      <c r="J5" s="7" t="inlineStr">
        <is>
          <t>2/5</t>
        </is>
      </c>
      <c r="K5" s="7" t="inlineStr"/>
      <c r="L5" s="10" t="n">
        <v>0.117</v>
      </c>
      <c r="M5" s="10" t="n">
        <v>-0.224</v>
      </c>
      <c r="N5" s="7" t="inlineStr">
        <is>
          <t>QUAN-968</t>
        </is>
      </c>
      <c r="O5" s="7" t="inlineStr">
        <is>
          <t>EXP-084-funding-accel-brake.md</t>
        </is>
      </c>
    </row>
    <row r="6">
      <c r="A6" s="7" t="inlineStr">
        <is>
          <t>EXP-086</t>
        </is>
      </c>
      <c r="B6" s="7" t="inlineStr">
        <is>
          <t>v6.73</t>
        </is>
      </c>
      <c r="C6" s="7" t="inlineStr">
        <is>
          <t>開發期淘汰</t>
        </is>
      </c>
      <c r="D6" s="7" t="inlineStr">
        <is>
          <t>否</t>
        </is>
      </c>
      <c r="E6" s="7" t="inlineStr">
        <is>
          <t>dev + holdout</t>
        </is>
      </c>
      <c r="F6" s="7" t="inlineStr">
        <is>
          <t>否</t>
        </is>
      </c>
      <c r="G6" s="7" t="inlineStr">
        <is>
          <t>跌破均線出場後，另一個幣（ETH 池看 BTC）也從低點反彈5%才補倉</t>
        </is>
      </c>
      <c r="H6" s="7" t="inlineStr">
        <is>
          <t>refill stages need the other asset's rebound too (v6.73)</t>
        </is>
      </c>
      <c r="I6" s="16" t="n">
        <v>0</v>
      </c>
      <c r="J6" s="7" t="inlineStr">
        <is>
          <t>2/5</t>
        </is>
      </c>
      <c r="K6" s="7" t="inlineStr"/>
      <c r="L6" s="10" t="n">
        <v>0.154</v>
      </c>
      <c r="M6" s="10" t="n">
        <v>-0.234</v>
      </c>
      <c r="N6" s="7" t="inlineStr">
        <is>
          <t>QUAN-970</t>
        </is>
      </c>
      <c r="O6" s="7" t="inlineStr">
        <is>
          <t>EXP-086-xasset-refill.md</t>
        </is>
      </c>
    </row>
    <row r="7">
      <c r="A7" s="7" t="inlineStr">
        <is>
          <t>EXP-087</t>
        </is>
      </c>
      <c r="B7" s="7" t="inlineStr">
        <is>
          <t>v6.74</t>
        </is>
      </c>
      <c r="C7" s="7" t="inlineStr">
        <is>
          <t>開發期淘汰</t>
        </is>
      </c>
      <c r="D7" s="7" t="inlineStr">
        <is>
          <t>否</t>
        </is>
      </c>
      <c r="E7" s="7" t="inlineStr">
        <is>
          <t>dev + holdout</t>
        </is>
      </c>
      <c r="F7" s="7" t="inlineStr">
        <is>
          <t>否</t>
        </is>
      </c>
      <c r="G7" s="7" t="inlineStr">
        <is>
          <t>出場後要補倉時，池子近3天成交量須不低於近30天常態才放回</t>
        </is>
      </c>
      <c r="H7" s="7" t="inlineStr">
        <is>
          <t>refill stages only while pool volume confirms the rebound (v6.74)</t>
        </is>
      </c>
      <c r="I7" s="16" t="n">
        <v>-2.41</v>
      </c>
      <c r="J7" s="7" t="inlineStr">
        <is>
          <t>1/5</t>
        </is>
      </c>
      <c r="K7" s="7" t="inlineStr"/>
      <c r="L7" s="10" t="n">
        <v>0.114</v>
      </c>
      <c r="M7" s="10" t="n">
        <v>-0.215</v>
      </c>
      <c r="N7" s="7" t="inlineStr">
        <is>
          <t>QUAN-971</t>
        </is>
      </c>
      <c r="O7" s="7" t="inlineStr">
        <is>
          <t>EXP-087-volume-confirmed-refill.md</t>
        </is>
      </c>
    </row>
    <row r="8">
      <c r="A8" s="17" t="inlineStr">
        <is>
          <t>EXP-088</t>
        </is>
      </c>
      <c r="B8" s="17" t="inlineStr">
        <is>
          <t>v6.75</t>
        </is>
      </c>
      <c r="C8" s="17" t="inlineStr">
        <is>
          <t>通過（holdout）</t>
        </is>
      </c>
      <c r="D8" s="17" t="inlineStr">
        <is>
          <t>是</t>
        </is>
      </c>
      <c r="E8" s="17" t="inlineStr">
        <is>
          <t>dev + holdout</t>
        </is>
      </c>
      <c r="F8" s="17" t="inlineStr">
        <is>
          <t>是</t>
        </is>
      </c>
      <c r="G8" s="17" t="inlineStr">
        <is>
          <t>跌破均線出場後分段補倉，但當天盤中創新低就不算數、不補倉</t>
        </is>
      </c>
      <c r="H8" s="17" t="inlineStr">
        <is>
          <t>refill days count only without a new intraday low (v6.75)</t>
        </is>
      </c>
      <c r="I8" s="18" t="n">
        <v>0.47</v>
      </c>
      <c r="J8" s="17" t="inlineStr">
        <is>
          <t>4/5</t>
        </is>
      </c>
      <c r="K8" s="17" t="inlineStr">
        <is>
          <t>2/2 windows (time-split)</t>
        </is>
      </c>
      <c r="L8" s="19" t="n">
        <v>0.154</v>
      </c>
      <c r="M8" s="19" t="n">
        <v>-0.243</v>
      </c>
      <c r="N8" s="17" t="inlineStr">
        <is>
          <t>QUAN-972</t>
        </is>
      </c>
      <c r="O8" s="17" t="inlineStr">
        <is>
          <t>EXP-088-no-new-low-refill.md</t>
        </is>
      </c>
    </row>
    <row r="9">
      <c r="A9" s="7" t="inlineStr">
        <is>
          <t>EXP-090</t>
        </is>
      </c>
      <c r="B9" s="7" t="inlineStr">
        <is>
          <t>v6.77</t>
        </is>
      </c>
      <c r="C9" s="7" t="inlineStr">
        <is>
          <t>開發期淘汰</t>
        </is>
      </c>
      <c r="D9" s="7" t="inlineStr">
        <is>
          <t>否</t>
        </is>
      </c>
      <c r="E9" s="7" t="inlineStr">
        <is>
          <t>dev + holdout</t>
        </is>
      </c>
      <c r="F9" s="7" t="inlineStr">
        <is>
          <t>否</t>
        </is>
      </c>
      <c r="G9" s="7" t="inlineStr">
        <is>
          <t>近7天實際波動高於隱含波動（DVOL）時，部署比例少放一段（減25%）</t>
        </is>
      </c>
      <c r="H9" s="7" t="inlineStr">
        <is>
          <t>one refill stage less while realised vol exceeds implied vol (v6.77)</t>
        </is>
      </c>
      <c r="I9" s="16" t="n">
        <v>-1.29</v>
      </c>
      <c r="J9" s="7" t="inlineStr">
        <is>
          <t>2/5</t>
        </is>
      </c>
      <c r="K9" s="7" t="inlineStr"/>
      <c r="L9" s="10" t="n">
        <v>0.131</v>
      </c>
      <c r="M9" s="10" t="n">
        <v>-0.217</v>
      </c>
      <c r="N9" s="7" t="inlineStr">
        <is>
          <t>QUAN-974</t>
        </is>
      </c>
      <c r="O9" s="7" t="inlineStr">
        <is>
          <t>EXP-090-vrp-pull.md</t>
        </is>
      </c>
    </row>
    <row r="10">
      <c r="A10" s="7" t="inlineStr">
        <is>
          <t>EXP-092</t>
        </is>
      </c>
      <c r="B10" s="7" t="inlineStr">
        <is>
          <t>v6.79</t>
        </is>
      </c>
      <c r="C10" s="7" t="inlineStr">
        <is>
          <t>開發期淘汰</t>
        </is>
      </c>
      <c r="D10" s="7" t="inlineStr">
        <is>
          <t>否</t>
        </is>
      </c>
      <c r="E10" s="7" t="inlineStr">
        <is>
          <t>dev + holdout</t>
        </is>
      </c>
      <c r="F10" s="7" t="inlineStr">
        <is>
          <t>否</t>
        </is>
      </c>
      <c r="G10" s="7" t="inlineStr">
        <is>
          <t>鏈上 gas 暴增（超過30天常態3倍）當天與之後兩天，暫停一切補倉</t>
        </is>
      </c>
      <c r="H10" s="7" t="inlineStr">
        <is>
          <t>no refill stage for 3 days after an on-chain gas spike (v6.79)</t>
        </is>
      </c>
      <c r="I10" s="16" t="n">
        <v>0</v>
      </c>
      <c r="J10" s="7" t="inlineStr">
        <is>
          <t>1/5</t>
        </is>
      </c>
      <c r="K10" s="7" t="inlineStr"/>
      <c r="L10" s="10" t="n">
        <v>0.139</v>
      </c>
      <c r="M10" s="10" t="n">
        <v>-0.23</v>
      </c>
      <c r="N10" s="7" t="inlineStr">
        <is>
          <t>QUAN-976</t>
        </is>
      </c>
      <c r="O10" s="7" t="inlineStr">
        <is>
          <t>EXP-092-gas-panic-hold.md</t>
        </is>
      </c>
    </row>
    <row r="11">
      <c r="A11" s="7" t="inlineStr">
        <is>
          <t>EXP-093</t>
        </is>
      </c>
      <c r="B11" s="7" t="inlineStr">
        <is>
          <t>v6.80</t>
        </is>
      </c>
      <c r="C11" s="7" t="inlineStr">
        <is>
          <t>開發期淘汰</t>
        </is>
      </c>
      <c r="D11" s="7" t="inlineStr">
        <is>
          <t>否</t>
        </is>
      </c>
      <c r="E11" s="7" t="inlineStr">
        <is>
          <t>dev + holdout</t>
        </is>
      </c>
      <c r="F11" s="7" t="inlineStr">
        <is>
          <t>否</t>
        </is>
      </c>
      <c r="G11" s="7" t="inlineStr">
        <is>
          <t>穩定幣總市值比7天前增加時，才允許跌破均線後的分段補倉</t>
        </is>
      </c>
      <c r="H11" s="7" t="inlineStr">
        <is>
          <t>refill stages only while stablecoin supply is growing (v6.80)</t>
        </is>
      </c>
      <c r="I11" s="16" t="n">
        <v>-2.08</v>
      </c>
      <c r="J11" s="7" t="inlineStr">
        <is>
          <t>1/5</t>
        </is>
      </c>
      <c r="K11" s="7" t="inlineStr"/>
      <c r="L11" s="10" t="n">
        <v>0.127</v>
      </c>
      <c r="M11" s="10" t="n">
        <v>-0.24</v>
      </c>
      <c r="N11" s="7" t="inlineStr">
        <is>
          <t>QUAN-977</t>
        </is>
      </c>
      <c r="O11" s="7" t="inlineStr">
        <is>
          <t>EXP-093-stable-flow-refill.md</t>
        </is>
      </c>
    </row>
    <row r="12">
      <c r="A12" s="7" t="inlineStr">
        <is>
          <t>EXP-094</t>
        </is>
      </c>
      <c r="B12" s="7" t="inlineStr">
        <is>
          <t>v6.81</t>
        </is>
      </c>
      <c r="C12" s="7" t="inlineStr">
        <is>
          <t>開發期淘汰</t>
        </is>
      </c>
      <c r="D12" s="7" t="inlineStr">
        <is>
          <t>否</t>
        </is>
      </c>
      <c r="E12" s="7" t="inlineStr">
        <is>
          <t>dev + holdout</t>
        </is>
      </c>
      <c r="F12" s="7" t="inlineStr">
        <is>
          <t>否</t>
        </is>
      </c>
      <c r="G12" s="7" t="inlineStr">
        <is>
          <t>週六、週日的收盤不觸發補倉，只在平日的收盤把錢分段放回 LP</t>
        </is>
      </c>
      <c r="H12" s="7" t="inlineStr">
        <is>
          <t>no refill stage on weekend closes (v6.81)</t>
        </is>
      </c>
      <c r="I12" s="16" t="n">
        <v>-2.32</v>
      </c>
      <c r="J12" s="7" t="inlineStr">
        <is>
          <t>2/5</t>
        </is>
      </c>
      <c r="K12" s="7" t="inlineStr"/>
      <c r="L12" s="10" t="n">
        <v>0.131</v>
      </c>
      <c r="M12" s="10" t="n">
        <v>-0.249</v>
      </c>
      <c r="N12" s="7" t="inlineStr">
        <is>
          <t>QUAN-978</t>
        </is>
      </c>
      <c r="O12" s="7" t="inlineStr">
        <is>
          <t>EXP-094-no-weekend-refill.md</t>
        </is>
      </c>
    </row>
    <row r="13">
      <c r="A13" s="7" t="inlineStr">
        <is>
          <t>EXP-096</t>
        </is>
      </c>
      <c r="B13" s="7" t="inlineStr">
        <is>
          <t>v6.83</t>
        </is>
      </c>
      <c r="C13" s="7" t="inlineStr">
        <is>
          <t>開發期淘汰</t>
        </is>
      </c>
      <c r="D13" s="7" t="inlineStr">
        <is>
          <t>否</t>
        </is>
      </c>
      <c r="E13" s="7" t="inlineStr">
        <is>
          <t>dev + holdout</t>
        </is>
      </c>
      <c r="F13" s="7" t="inlineStr">
        <is>
          <t>否</t>
        </is>
      </c>
      <c r="G13" s="7" t="inlineStr">
        <is>
          <t>池內近3天交易者是淨買入幣的一方時，才允許分段補倉</t>
        </is>
      </c>
      <c r="H13" s="7" t="inlineStr">
        <is>
          <t>refill stages only while the pool's traders are net buyers (v6.83)</t>
        </is>
      </c>
      <c r="I13" s="16" t="n">
        <v>-1.04</v>
      </c>
      <c r="J13" s="7" t="inlineStr">
        <is>
          <t>0/5</t>
        </is>
      </c>
      <c r="K13" s="7" t="inlineStr"/>
      <c r="L13" s="10" t="n">
        <v>0.135</v>
      </c>
      <c r="M13" s="10" t="n">
        <v>-0.244</v>
      </c>
      <c r="N13" s="7" t="inlineStr">
        <is>
          <t>QUAN-980</t>
        </is>
      </c>
      <c r="O13" s="7" t="inlineStr">
        <is>
          <t>EXP-096-flow-refill.md</t>
        </is>
      </c>
    </row>
    <row r="14">
      <c r="A14" s="7" t="inlineStr">
        <is>
          <t>EXP-098</t>
        </is>
      </c>
      <c r="B14" s="7" t="inlineStr">
        <is>
          <t>v6.85</t>
        </is>
      </c>
      <c r="C14" s="7" t="inlineStr">
        <is>
          <t>開發期淘汰</t>
        </is>
      </c>
      <c r="D14" s="7" t="inlineStr">
        <is>
          <t>否</t>
        </is>
      </c>
      <c r="E14" s="7" t="inlineStr">
        <is>
          <t>dev + holdout</t>
        </is>
      </c>
      <c r="F14" s="7" t="inlineStr">
        <is>
          <t>否</t>
        </is>
      </c>
      <c r="G14" s="7" t="inlineStr">
        <is>
          <t>補倉要看的「出場後最低點」改用盤中最低價，而不是最低收盤價</t>
        </is>
      </c>
      <c r="H14" s="7" t="inlineStr">
        <is>
          <t>refill measured from the intraday low since the exit (v6.85)</t>
        </is>
      </c>
      <c r="I14" s="16" t="n">
        <v>-12.74</v>
      </c>
      <c r="J14" s="7" t="inlineStr">
        <is>
          <t>2/5</t>
        </is>
      </c>
      <c r="K14" s="7" t="inlineStr"/>
      <c r="L14" s="10" t="n">
        <v>0.042</v>
      </c>
      <c r="M14" s="10" t="n">
        <v>-0.249</v>
      </c>
      <c r="N14" s="7" t="inlineStr">
        <is>
          <t>QUAN-982</t>
        </is>
      </c>
      <c r="O14" s="7" t="inlineStr">
        <is>
          <t>EXP-098-low-from-wick.md</t>
        </is>
      </c>
    </row>
    <row r="15">
      <c r="A15" s="7" t="inlineStr">
        <is>
          <t>EXP-099</t>
        </is>
      </c>
      <c r="B15" s="7" t="inlineStr">
        <is>
          <t>v6.86</t>
        </is>
      </c>
      <c r="C15" s="7" t="inlineStr">
        <is>
          <t>開發期淘汰</t>
        </is>
      </c>
      <c r="D15" s="7" t="inlineStr">
        <is>
          <t>否</t>
        </is>
      </c>
      <c r="E15" s="7" t="inlineStr">
        <is>
          <t>dev + holdout</t>
        </is>
      </c>
      <c r="F15" s="7" t="inlineStr">
        <is>
          <t>否</t>
        </is>
      </c>
      <c r="G15" s="7" t="inlineStr">
        <is>
          <t>補倉那天必須收紅（收盤高於開盤）才算數，否則不補倉也不累計</t>
        </is>
      </c>
      <c r="H15" s="7" t="inlineStr">
        <is>
          <t>refill days must close above their open (v6.86)</t>
        </is>
      </c>
      <c r="I15" s="16" t="n">
        <v>-1.42</v>
      </c>
      <c r="J15" s="7" t="inlineStr">
        <is>
          <t>2/5</t>
        </is>
      </c>
      <c r="K15" s="7" t="inlineStr"/>
      <c r="L15" s="10" t="n">
        <v>0.158</v>
      </c>
      <c r="M15" s="10" t="n">
        <v>-0.233</v>
      </c>
      <c r="N15" s="7" t="inlineStr">
        <is>
          <t>QUAN-983</t>
        </is>
      </c>
      <c r="O15" s="7" t="inlineStr">
        <is>
          <t>EXP-099-up-day-refill.md</t>
        </is>
      </c>
    </row>
    <row r="16">
      <c r="A16" s="7" t="inlineStr">
        <is>
          <t>EXP-100</t>
        </is>
      </c>
      <c r="B16" s="7" t="inlineStr">
        <is>
          <t>v6.87</t>
        </is>
      </c>
      <c r="C16" s="7" t="inlineStr">
        <is>
          <t>開發期淘汰</t>
        </is>
      </c>
      <c r="D16" s="7" t="inlineStr">
        <is>
          <t>否</t>
        </is>
      </c>
      <c r="E16" s="7" t="inlineStr">
        <is>
          <t>dev + holdout</t>
        </is>
      </c>
      <c r="F16" s="7" t="inlineStr">
        <is>
          <t>否</t>
        </is>
      </c>
      <c r="G16" s="7" t="inlineStr">
        <is>
          <t>補倉那天收盤必須落在當日最高到最低區間的上半段才算數</t>
        </is>
      </c>
      <c r="H16" s="7" t="inlineStr">
        <is>
          <t>refill days must close in the upper half of their range (v6.87)</t>
        </is>
      </c>
      <c r="I16" s="16" t="n">
        <v>-3.76</v>
      </c>
      <c r="J16" s="7" t="inlineStr">
        <is>
          <t>2/5</t>
        </is>
      </c>
      <c r="K16" s="7" t="inlineStr"/>
      <c r="L16" s="10" t="n">
        <v>0.153</v>
      </c>
      <c r="M16" s="10" t="n">
        <v>-0.229</v>
      </c>
      <c r="N16" s="7" t="inlineStr">
        <is>
          <t>QUAN-984</t>
        </is>
      </c>
      <c r="O16" s="7" t="inlineStr">
        <is>
          <t>EXP-100-strong-close-refill.md</t>
        </is>
      </c>
    </row>
    <row r="17">
      <c r="A17" s="7" t="inlineStr">
        <is>
          <t>EXP-107</t>
        </is>
      </c>
      <c r="B17" s="7" t="inlineStr">
        <is>
          <t>v6.94</t>
        </is>
      </c>
      <c r="C17" s="7" t="inlineStr">
        <is>
          <t>開發期淘汰</t>
        </is>
      </c>
      <c r="D17" s="7" t="inlineStr">
        <is>
          <t>否</t>
        </is>
      </c>
      <c r="E17" s="7" t="inlineStr">
        <is>
          <t>dev + holdout</t>
        </is>
      </c>
      <c r="F17" s="7" t="inlineStr">
        <is>
          <t>否</t>
        </is>
      </c>
      <c r="G17" s="7" t="inlineStr">
        <is>
          <t>補倉後10天內又被迫出場的話，下次第一段補倉要連6天確認而不是3天</t>
        </is>
      </c>
      <c r="H17" s="7" t="inlineStr">
        <is>
          <t>longer stage-1 wait after a refill that failed fast (v6.94)</t>
        </is>
      </c>
      <c r="I17" s="16" t="n">
        <v>-0.36</v>
      </c>
      <c r="J17" s="7" t="inlineStr">
        <is>
          <t>1/5</t>
        </is>
      </c>
      <c r="K17" s="7" t="inlineStr"/>
      <c r="L17" s="10" t="n">
        <v>0.113</v>
      </c>
      <c r="M17" s="10" t="n">
        <v>-0.25</v>
      </c>
      <c r="N17" s="7" t="inlineStr">
        <is>
          <t>QUAN-991</t>
        </is>
      </c>
      <c r="O17" s="7" t="inlineStr">
        <is>
          <t>EXP-107-fail-cooldown.md</t>
        </is>
      </c>
    </row>
    <row r="18">
      <c r="A18" s="7" t="inlineStr">
        <is>
          <t>EXP-108</t>
        </is>
      </c>
      <c r="B18" s="7" t="inlineStr">
        <is>
          <t>v6.95</t>
        </is>
      </c>
      <c r="C18" s="7" t="inlineStr">
        <is>
          <t>holdout 失敗</t>
        </is>
      </c>
      <c r="D18" s="7" t="inlineStr">
        <is>
          <t>否</t>
        </is>
      </c>
      <c r="E18" s="7" t="inlineStr">
        <is>
          <t>dev + holdout</t>
        </is>
      </c>
      <c r="F18" s="7" t="inlineStr">
        <is>
          <t>否</t>
        </is>
      </c>
      <c r="G18" s="7" t="inlineStr">
        <is>
          <t>池內流動性擁擠（7日均值超過90日中位數1.5倍）時，暫停補倉</t>
        </is>
      </c>
      <c r="H18" s="7" t="inlineStr">
        <is>
          <t>no refill stage while pool liquidity is crowded (v6.95)</t>
        </is>
      </c>
      <c r="I18" s="16" t="n">
        <v>0.25</v>
      </c>
      <c r="J18" s="7" t="inlineStr">
        <is>
          <t>3/5</t>
        </is>
      </c>
      <c r="K18" s="7" t="inlineStr">
        <is>
          <t>0/2 windows (time-split)</t>
        </is>
      </c>
      <c r="L18" s="10" t="n">
        <v>0.16</v>
      </c>
      <c r="M18" s="10" t="n">
        <v>-0.228</v>
      </c>
      <c r="N18" s="7" t="inlineStr">
        <is>
          <t>QUAN-992</t>
        </is>
      </c>
      <c r="O18" s="7" t="inlineStr">
        <is>
          <t>EXP-108-crowd-refill.md</t>
        </is>
      </c>
    </row>
    <row r="19">
      <c r="A19" s="7" t="inlineStr">
        <is>
          <t>EXP-109</t>
        </is>
      </c>
      <c r="B19" s="7" t="inlineStr">
        <is>
          <t>v6.96</t>
        </is>
      </c>
      <c r="C19" s="7" t="inlineStr">
        <is>
          <t>holdout 失敗</t>
        </is>
      </c>
      <c r="D19" s="7" t="inlineStr">
        <is>
          <t>否</t>
        </is>
      </c>
      <c r="E19" s="7" t="inlineStr">
        <is>
          <t>dev + holdout</t>
        </is>
      </c>
      <c r="F19" s="7" t="inlineStr">
        <is>
          <t>是</t>
        </is>
      </c>
      <c r="G19" s="7" t="inlineStr">
        <is>
          <t>創新低那天不補倉，且池內流動性擁擠（超過常態1.5倍）時也暫停補倉</t>
        </is>
      </c>
      <c r="H19" s="7" t="inlineStr">
        <is>
          <t>crowd-gated refill plus v6.75 (v6.96)</t>
        </is>
      </c>
      <c r="I19" s="16" t="n">
        <v>3.07</v>
      </c>
      <c r="J19" s="7" t="inlineStr">
        <is>
          <t>4/5</t>
        </is>
      </c>
      <c r="K19" s="7" t="inlineStr">
        <is>
          <t>1/2 windows (time-split)</t>
        </is>
      </c>
      <c r="L19" s="10" t="n">
        <v>0.176</v>
      </c>
      <c r="M19" s="10" t="n">
        <v>-0.241</v>
      </c>
      <c r="N19" s="7" t="inlineStr">
        <is>
          <t>QUAN-993</t>
        </is>
      </c>
      <c r="O19" s="7" t="inlineStr">
        <is>
          <t>EXP-109-crowd-refill-nolow.md</t>
        </is>
      </c>
    </row>
    <row r="20">
      <c r="A20" s="7" t="inlineStr">
        <is>
          <t>EXP-144</t>
        </is>
      </c>
      <c r="B20" s="7" t="inlineStr">
        <is>
          <t>v6.130</t>
        </is>
      </c>
      <c r="C20" s="7" t="inlineStr">
        <is>
          <t>開發期淘汰</t>
        </is>
      </c>
      <c r="D20" s="7" t="inlineStr">
        <is>
          <t>否</t>
        </is>
      </c>
      <c r="E20" s="7" t="inlineStr">
        <is>
          <t>dev + holdout</t>
        </is>
      </c>
      <c r="F20" s="7" t="inlineStr">
        <is>
          <t>是</t>
        </is>
      </c>
      <c r="G20" s="7" t="inlineStr">
        <is>
          <t>創新低那天不補倉＋另一個幣（ETH 池看 BTC）也反彈才補倉＋換幣改走較便宜的池子</t>
        </is>
      </c>
      <c r="H20" s="7" t="inlineStr">
        <is>
          <t>v6.75 + cross-asset refill + routing on every pool (v6.130)</t>
        </is>
      </c>
      <c r="I20" s="16" t="n">
        <v>1.04</v>
      </c>
      <c r="J20" s="7" t="inlineStr">
        <is>
          <t>4/5</t>
        </is>
      </c>
      <c r="K20" s="7" t="inlineStr"/>
      <c r="L20" s="10" t="n">
        <v>0.169</v>
      </c>
      <c r="M20" s="10" t="n">
        <v>-0.247</v>
      </c>
      <c r="N20" s="7" t="inlineStr">
        <is>
          <t>QUAN-1029</t>
        </is>
      </c>
      <c r="O20" s="7" t="inlineStr">
        <is>
          <t>EXP-144-nolow-xasset-route.md</t>
        </is>
      </c>
    </row>
    <row r="21">
      <c r="A21" s="7" t="inlineStr">
        <is>
          <t>EXP-145</t>
        </is>
      </c>
      <c r="B21" s="7" t="inlineStr">
        <is>
          <t>v6.131</t>
        </is>
      </c>
      <c r="C21" s="7" t="inlineStr">
        <is>
          <t>開發期淘汰</t>
        </is>
      </c>
      <c r="D21" s="7" t="inlineStr">
        <is>
          <t>否</t>
        </is>
      </c>
      <c r="E21" s="7" t="inlineStr">
        <is>
          <t>dev + holdout</t>
        </is>
      </c>
      <c r="F21" s="7" t="inlineStr">
        <is>
          <t>是</t>
        </is>
      </c>
      <c r="G21" s="7" t="inlineStr">
        <is>
          <t>創新低不補倉＋另一個幣也反彈才補倉＋換幣走較便宜池子＋部署比例一升就重擺區間</t>
        </is>
      </c>
      <c r="H21" s="7" t="inlineStr">
        <is>
          <t>v6.75 + cross-asset refill + routing + rise rebuild on every pool (v6.131)</t>
        </is>
      </c>
      <c r="I21" s="16" t="n">
        <v>1.94</v>
      </c>
      <c r="J21" s="7" t="inlineStr">
        <is>
          <t>4/5</t>
        </is>
      </c>
      <c r="K21" s="7" t="inlineStr"/>
      <c r="L21" s="10" t="n">
        <v>0.178</v>
      </c>
      <c r="M21" s="10" t="n">
        <v>-0.245</v>
      </c>
      <c r="N21" s="7" t="inlineStr">
        <is>
          <t>QUAN-1030</t>
        </is>
      </c>
      <c r="O21" s="7" t="inlineStr">
        <is>
          <t>EXP-145-nolow-xasset-route-rise.md</t>
        </is>
      </c>
    </row>
    <row r="22">
      <c r="A22" s="7" t="inlineStr">
        <is>
          <t>EXP-148</t>
        </is>
      </c>
      <c r="B22" s="7" t="inlineStr">
        <is>
          <t>v6.134</t>
        </is>
      </c>
      <c r="C22" s="7" t="inlineStr">
        <is>
          <t>開發期淘汰</t>
        </is>
      </c>
      <c r="D22" s="7" t="inlineStr">
        <is>
          <t>否</t>
        </is>
      </c>
      <c r="E22" s="7" t="inlineStr">
        <is>
          <t>dev + holdout</t>
        </is>
      </c>
      <c r="F22" s="7" t="inlineStr">
        <is>
          <t>是</t>
        </is>
      </c>
      <c r="G22" s="7" t="inlineStr">
        <is>
          <t>創新低不補倉＋另一個幣也反彈才補倉＋換幣走較便宜池子＋FOMC／CPI前後撤區間</t>
        </is>
      </c>
      <c r="H22" s="7" t="inlineStr">
        <is>
          <t>v6.75 + cross-asset refill + routing + macro restore on every pool (v6.134)</t>
        </is>
      </c>
      <c r="I22" s="16" t="n">
        <v>1.15</v>
      </c>
      <c r="J22" s="7" t="inlineStr">
        <is>
          <t>4/5</t>
        </is>
      </c>
      <c r="K22" s="7" t="inlineStr"/>
      <c r="L22" s="10" t="n">
        <v>0.171</v>
      </c>
      <c r="M22" s="10" t="n">
        <v>-0.249</v>
      </c>
      <c r="N22" s="7" t="inlineStr">
        <is>
          <t>QUAN-1033</t>
        </is>
      </c>
      <c r="O22" s="7" t="inlineStr">
        <is>
          <t>EXP-148-nolow-xasset-route-macro.md</t>
        </is>
      </c>
    </row>
    <row r="23">
      <c r="A23" s="7" t="inlineStr">
        <is>
          <t>EXP-152</t>
        </is>
      </c>
      <c r="B23" s="7" t="inlineStr">
        <is>
          <t>v6.138</t>
        </is>
      </c>
      <c r="C23" s="7" t="inlineStr">
        <is>
          <t>開發期淘汰</t>
        </is>
      </c>
      <c r="D23" s="7" t="inlineStr">
        <is>
          <t>否</t>
        </is>
      </c>
      <c r="E23" s="7" t="inlineStr">
        <is>
          <t>dev + holdout</t>
        </is>
      </c>
      <c r="F23" s="7" t="inlineStr">
        <is>
          <t>是</t>
        </is>
      </c>
      <c r="G23" s="7" t="inlineStr">
        <is>
          <t>創新低不補倉＋成交量確認才補倉＋換幣走較便宜池子＋FOMC／CPI前後撤區間</t>
        </is>
      </c>
      <c r="H23" s="7" t="inlineStr">
        <is>
          <t>v6.75 + routing + macro restore + volume-confirmed refill on every pool (v6.138)</t>
        </is>
      </c>
      <c r="I23" s="16" t="n">
        <v>-3.11</v>
      </c>
      <c r="J23" s="7" t="inlineStr">
        <is>
          <t>1/5</t>
        </is>
      </c>
      <c r="K23" s="7" t="inlineStr"/>
      <c r="L23" s="10" t="n">
        <v>0.137</v>
      </c>
      <c r="M23" s="10" t="n">
        <v>-0.222</v>
      </c>
      <c r="N23" s="7" t="inlineStr">
        <is>
          <t>QUAN-1037</t>
        </is>
      </c>
      <c r="O23" s="7" t="inlineStr">
        <is>
          <t>EXP-152-nolow-route-macro-vol.md</t>
        </is>
      </c>
    </row>
    <row r="24">
      <c r="A24" s="17" t="inlineStr">
        <is>
          <t>EXP-157</t>
        </is>
      </c>
      <c r="B24" s="17" t="inlineStr">
        <is>
          <t>v6.142</t>
        </is>
      </c>
      <c r="C24" s="17" t="inlineStr">
        <is>
          <t>通過（全歷史）</t>
        </is>
      </c>
      <c r="D24" s="17" t="inlineStr">
        <is>
          <t>是</t>
        </is>
      </c>
      <c r="E24" s="17" t="inlineStr">
        <is>
          <t>全歷史</t>
        </is>
      </c>
      <c r="F24" s="17" t="inlineStr">
        <is>
          <t>是</t>
        </is>
      </c>
      <c r="G24" s="17" t="inlineStr">
        <is>
          <t>跌破均線出場後分段補倉，創新低那天不補倉；改用新基準 spec v1 設定重新評估</t>
        </is>
      </c>
      <c r="H24" s="17" t="inlineStr">
        <is>
          <t>v6.75 (refill days need no new intraday low) re-judged on spec v1 (v6.142)</t>
        </is>
      </c>
      <c r="I24" s="17" t="n"/>
      <c r="J24" s="17" t="inlineStr"/>
      <c r="K24" s="17" t="inlineStr">
        <is>
          <t>full-history 5/7 pools (ETH 3 of 5; BTC 2 of 2)</t>
        </is>
      </c>
      <c r="L24" s="17" t="n"/>
      <c r="M24" s="17" t="n"/>
      <c r="N24" s="17" t="inlineStr">
        <is>
          <t>QUAN-1044</t>
        </is>
      </c>
      <c r="O24" s="17" t="inlineStr">
        <is>
          <t>EXP-157-nolow-specv1.md</t>
        </is>
      </c>
    </row>
    <row r="25">
      <c r="A25" s="17" t="inlineStr">
        <is>
          <t>EXP-158</t>
        </is>
      </c>
      <c r="B25" s="17" t="inlineStr">
        <is>
          <t>v6.143</t>
        </is>
      </c>
      <c r="C25" s="17" t="inlineStr">
        <is>
          <t>通過（全歷史）</t>
        </is>
      </c>
      <c r="D25" s="17" t="inlineStr">
        <is>
          <t>是</t>
        </is>
      </c>
      <c r="E25" s="17" t="inlineStr">
        <is>
          <t>全歷史</t>
        </is>
      </c>
      <c r="F25" s="17" t="inlineStr">
        <is>
          <t>是</t>
        </is>
      </c>
      <c r="G25" s="17" t="inlineStr">
        <is>
          <t>創新低那天不補倉，且另一個幣（ETH 池看 BTC）也從低點反彈5%才補倉</t>
        </is>
      </c>
      <c r="H25" s="17" t="inlineStr">
        <is>
          <t>v6.75 + cross-asset refill on every pool on spec v1 (v6.143)</t>
        </is>
      </c>
      <c r="I25" s="17" t="n"/>
      <c r="J25" s="17" t="inlineStr"/>
      <c r="K25" s="17" t="inlineStr">
        <is>
          <t>full-history 4/7 pools (ETH 3 of 5; BTC 1 of 2)</t>
        </is>
      </c>
      <c r="L25" s="17" t="n"/>
      <c r="M25" s="17" t="n"/>
      <c r="N25" s="17" t="inlineStr">
        <is>
          <t>QUAN-1045</t>
        </is>
      </c>
      <c r="O25" s="17" t="inlineStr">
        <is>
          <t>EXP-158-nolow-xasset-specv1.md</t>
        </is>
      </c>
    </row>
    <row r="27">
      <c r="A27" s="20" t="inlineStr">
        <is>
          <t>回補：撤出後分階段買回的條件</t>
        </is>
      </c>
    </row>
    <row r="28">
      <c r="A28" s="5" t="inlineStr">
        <is>
          <t>結論：唯一一再成立的發現：v6.75（5/7）；跨資產回補只對 ETH 有用</t>
        </is>
      </c>
    </row>
    <row r="29">
      <c r="A29" s="2" t="inlineStr">
        <is>
          <t>綠底 = 通過。ETH 連續 CAGR / 回撤是 registry 記錄的 ETH 連續回測；全歷史判定的逐池數字見各 EXP 文件。</t>
        </is>
      </c>
    </row>
  </sheetData>
  <autoFilter ref="A1:O25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EXP-023</t>
        </is>
      </c>
      <c r="B2" s="7" t="inlineStr">
        <is>
          <t>v6.18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價格到建倉價 +10% 就重新置中，不等到 +20% 邊緣</t>
        </is>
      </c>
      <c r="H2" s="7" t="inlineStr">
        <is>
          <t>recentre the ladder at +10% from the build price instead of the +20% edge (v6.18)</t>
        </is>
      </c>
      <c r="I2" s="16" t="n">
        <v>0.64</v>
      </c>
      <c r="J2" s="7" t="inlineStr">
        <is>
          <t>4/5</t>
        </is>
      </c>
      <c r="K2" s="7" t="inlineStr"/>
      <c r="L2" s="10" t="n">
        <v>0.183</v>
      </c>
      <c r="M2" s="10" t="n">
        <v>-0.262</v>
      </c>
      <c r="N2" s="7" t="inlineStr">
        <is>
          <t>QUAN-874</t>
        </is>
      </c>
      <c r="O2" s="7" t="inlineStr">
        <is>
          <t>EXP-023-early-upside-recentre.md</t>
        </is>
      </c>
    </row>
    <row r="3">
      <c r="A3" s="7" t="inlineStr">
        <is>
          <t>EXP-055</t>
        </is>
      </c>
      <c r="B3" s="7" t="inlineStr">
        <is>
          <t>v6.42</t>
        </is>
      </c>
      <c r="C3" s="7" t="inlineStr">
        <is>
          <t>開發期淘汰</t>
        </is>
      </c>
      <c r="D3" s="7" t="inlineStr">
        <is>
          <t>否</t>
        </is>
      </c>
      <c r="E3" s="7" t="inlineStr">
        <is>
          <t>dev + holdout</t>
        </is>
      </c>
      <c r="F3" s="7" t="inlineStr">
        <is>
          <t>否</t>
        </is>
      </c>
      <c r="G3" s="7" t="inlineStr">
        <is>
          <t>部署比例變動時，各段區間在原位置按比例加減流動性，不整個重新擺放</t>
        </is>
      </c>
      <c r="H3" s="7" t="inlineStr">
        <is>
          <t>follow F by resizing every band in place instead of a full rebuild (v6.42)</t>
        </is>
      </c>
      <c r="I3" s="16" t="n">
        <v>-5.55</v>
      </c>
      <c r="J3" s="7" t="inlineStr">
        <is>
          <t>2/5</t>
        </is>
      </c>
      <c r="K3" s="7" t="inlineStr"/>
      <c r="L3" s="10" t="n">
        <v>0.108</v>
      </c>
      <c r="M3" s="10" t="n">
        <v>-0.21</v>
      </c>
      <c r="N3" s="7" t="inlineStr">
        <is>
          <t>QUAN-937</t>
        </is>
      </c>
      <c r="O3" s="7" t="inlineStr">
        <is>
          <t>EXP-055-resize-in-place.md</t>
        </is>
      </c>
    </row>
    <row r="4">
      <c r="A4" s="7" t="inlineStr">
        <is>
          <t>EXP-057</t>
        </is>
      </c>
      <c r="B4" s="7" t="inlineStr">
        <is>
          <t>v6.44</t>
        </is>
      </c>
      <c r="C4" s="7" t="inlineStr">
        <is>
          <t>開發期淘汰</t>
        </is>
      </c>
      <c r="D4" s="7" t="inlineStr">
        <is>
          <t>否</t>
        </is>
      </c>
      <c r="E4" s="7" t="inlineStr">
        <is>
          <t>dev + holdout</t>
        </is>
      </c>
      <c r="F4" s="7" t="inlineStr">
        <is>
          <t>否</t>
        </is>
      </c>
      <c r="G4" s="7" t="inlineStr">
        <is>
          <t>價格跑出區間時直接在現價重新擺放，但不先換幣調整ETH占比</t>
        </is>
      </c>
      <c r="H4" s="7" t="inlineStr">
        <is>
          <t>range-exit rebuild from inventory without the swap (base + limit) (v6.44)</t>
        </is>
      </c>
      <c r="I4" s="16" t="n">
        <v>-7.65</v>
      </c>
      <c r="J4" s="7" t="inlineStr">
        <is>
          <t>1/5</t>
        </is>
      </c>
      <c r="K4" s="7" t="inlineStr"/>
      <c r="L4" s="10" t="n">
        <v>0.105</v>
      </c>
      <c r="M4" s="10" t="n">
        <v>-0.214</v>
      </c>
      <c r="N4" s="7" t="inlineStr">
        <is>
          <t>QUAN-939</t>
        </is>
      </c>
      <c r="O4" s="7" t="inlineStr">
        <is>
          <t>EXP-057-swapless-exit.md</t>
        </is>
      </c>
    </row>
    <row r="5">
      <c r="A5" s="7" t="inlineStr">
        <is>
          <t>EXP-058</t>
        </is>
      </c>
      <c r="B5" s="7" t="inlineStr">
        <is>
          <t>v6.45</t>
        </is>
      </c>
      <c r="C5" s="7" t="inlineStr">
        <is>
          <t>開發期淘汰</t>
        </is>
      </c>
      <c r="D5" s="7" t="inlineStr">
        <is>
          <t>否</t>
        </is>
      </c>
      <c r="E5" s="7" t="inlineStr">
        <is>
          <t>dev + holdout</t>
        </is>
      </c>
      <c r="F5" s="7" t="inlineStr">
        <is>
          <t>否</t>
        </is>
      </c>
      <c r="G5" s="7" t="inlineStr">
        <is>
          <t>部署比例變動時，價格仍在區間中心附近就原地縮放，偏離太遠才整個重擺</t>
        </is>
      </c>
      <c r="H5" s="7" t="inlineStr">
        <is>
          <t>resize in place while the price is in the ladder's inner half; recentre otherwise (v6.45)</t>
        </is>
      </c>
      <c r="I5" s="16" t="n">
        <v>0.92</v>
      </c>
      <c r="J5" s="7" t="inlineStr">
        <is>
          <t>3/5</t>
        </is>
      </c>
      <c r="K5" s="7" t="inlineStr"/>
      <c r="L5" s="10" t="n">
        <v>0.135</v>
      </c>
      <c r="M5" s="10" t="n">
        <v>-0.224</v>
      </c>
      <c r="N5" s="7" t="inlineStr">
        <is>
          <t>QUAN-940</t>
        </is>
      </c>
      <c r="O5" s="7" t="inlineStr">
        <is>
          <t>EXP-058-resize-near-centre.md</t>
        </is>
      </c>
    </row>
    <row r="6">
      <c r="A6" s="7" t="inlineStr">
        <is>
          <t>EXP-061</t>
        </is>
      </c>
      <c r="B6" s="7" t="inlineStr">
        <is>
          <t>v6.48</t>
        </is>
      </c>
      <c r="C6" s="7" t="inlineStr">
        <is>
          <t>開發期淘汰</t>
        </is>
      </c>
      <c r="D6" s="7" t="inlineStr">
        <is>
          <t>否</t>
        </is>
      </c>
      <c r="E6" s="7" t="inlineStr">
        <is>
          <t>dev + holdout</t>
        </is>
      </c>
      <c r="F6" s="7" t="inlineStr">
        <is>
          <t>否</t>
        </is>
      </c>
      <c r="G6" s="7" t="inlineStr">
        <is>
          <t>部署比例上升就在現價加擺一段新區間，下降就把各段按比例縮小</t>
        </is>
      </c>
      <c r="H6" s="7" t="inlineStr">
        <is>
          <t>F up adds a new tranche at today's price; F down shrinks every band; no recentre on follow events (v6.48)</t>
        </is>
      </c>
      <c r="I6" s="16" t="n">
        <v>-0.28</v>
      </c>
      <c r="J6" s="7" t="inlineStr">
        <is>
          <t>2/5</t>
        </is>
      </c>
      <c r="K6" s="7" t="inlineStr"/>
      <c r="L6" s="10" t="n">
        <v>0.134</v>
      </c>
      <c r="M6" s="10" t="n">
        <v>-0.221</v>
      </c>
      <c r="N6" s="7" t="inlineStr">
        <is>
          <t>QUAN-943</t>
        </is>
      </c>
      <c r="O6" s="7" t="inlineStr">
        <is>
          <t>EXP-061-tranche-add.md</t>
        </is>
      </c>
    </row>
    <row r="7">
      <c r="A7" s="7" t="inlineStr">
        <is>
          <t>EXP-062</t>
        </is>
      </c>
      <c r="B7" s="7" t="inlineStr">
        <is>
          <t>v6.49</t>
        </is>
      </c>
      <c r="C7" s="7" t="inlineStr">
        <is>
          <t>開發期淘汰</t>
        </is>
      </c>
      <c r="D7" s="7" t="inlineStr">
        <is>
          <t>否</t>
        </is>
      </c>
      <c r="E7" s="7" t="inlineStr">
        <is>
          <t>dev + holdout</t>
        </is>
      </c>
      <c r="F7" s="7" t="inlineStr">
        <is>
          <t>否</t>
        </is>
      </c>
      <c r="G7" s="7" t="inlineStr">
        <is>
          <t>部署比例下降時原地按比例縮小區間，上升時才整個重新置中</t>
        </is>
      </c>
      <c r="H7" s="7" t="inlineStr">
        <is>
          <t>asymmetric follow: shrink in place when F falls; v6 recentre when F rises (v6.49)</t>
        </is>
      </c>
      <c r="I7" s="16" t="n">
        <v>-0.04</v>
      </c>
      <c r="J7" s="7" t="inlineStr">
        <is>
          <t>2/5</t>
        </is>
      </c>
      <c r="K7" s="7" t="inlineStr"/>
      <c r="L7" s="10" t="n">
        <v>0.132</v>
      </c>
      <c r="M7" s="10" t="n">
        <v>-0.23</v>
      </c>
      <c r="N7" s="7" t="inlineStr">
        <is>
          <t>QUAN-944</t>
        </is>
      </c>
      <c r="O7" s="7" t="inlineStr">
        <is>
          <t>EXP-062-follow-asym.md</t>
        </is>
      </c>
    </row>
    <row r="8">
      <c r="A8" s="7" t="inlineStr">
        <is>
          <t>EXP-065</t>
        </is>
      </c>
      <c r="B8" s="7" t="inlineStr">
        <is>
          <t>v6.52</t>
        </is>
      </c>
      <c r="C8" s="7" t="inlineStr">
        <is>
          <t>開發期淘汰</t>
        </is>
      </c>
      <c r="D8" s="7" t="inlineStr">
        <is>
          <t>否</t>
        </is>
      </c>
      <c r="E8" s="7" t="inlineStr">
        <is>
          <t>dev + holdout</t>
        </is>
      </c>
      <c r="F8" s="7" t="inlineStr">
        <is>
          <t>否</t>
        </is>
      </c>
      <c r="G8" s="7" t="inlineStr">
        <is>
          <t>除了原本的觸發條件外，每週日再固定把區間整個重新置中一次</t>
        </is>
      </c>
      <c r="H8" s="7" t="inlineStr">
        <is>
          <t>weekly time-based full recentre on top of v6's triggers (v6.52)</t>
        </is>
      </c>
      <c r="I8" s="16" t="n">
        <v>-1.95</v>
      </c>
      <c r="J8" s="7" t="inlineStr">
        <is>
          <t>2/5</t>
        </is>
      </c>
      <c r="K8" s="7" t="inlineStr"/>
      <c r="L8" s="10" t="n">
        <v>0.171</v>
      </c>
      <c r="M8" s="10" t="n">
        <v>-0.239</v>
      </c>
      <c r="N8" s="7" t="inlineStr">
        <is>
          <t>QUAN-947</t>
        </is>
      </c>
      <c r="O8" s="7" t="inlineStr">
        <is>
          <t>EXP-065-weekly-recentre.md</t>
        </is>
      </c>
    </row>
    <row r="9">
      <c r="A9" s="7" t="inlineStr">
        <is>
          <t>EXP-070</t>
        </is>
      </c>
      <c r="B9" s="7" t="inlineStr">
        <is>
          <t>v6.57</t>
        </is>
      </c>
      <c r="C9" s="7" t="inlineStr">
        <is>
          <t>開發期淘汰</t>
        </is>
      </c>
      <c r="D9" s="7" t="inlineStr">
        <is>
          <t>否</t>
        </is>
      </c>
      <c r="E9" s="7" t="inlineStr">
        <is>
          <t>dev + holdout</t>
        </is>
      </c>
      <c r="F9" s="7" t="inlineStr">
        <is>
          <t>否</t>
        </is>
      </c>
      <c r="G9" s="7" t="inlineStr">
        <is>
          <t>每週日固定把區間重新置中一次，且ETH占比不分多空固定50%</t>
        </is>
      </c>
      <c r="H9" s="7" t="inlineStr">
        <is>
          <t>weekly recentre + ETH share 50% (stack of EXP-065 and EXP-046) (v6.57)</t>
        </is>
      </c>
      <c r="I9" s="16" t="n">
        <v>-2.4</v>
      </c>
      <c r="J9" s="7" t="inlineStr">
        <is>
          <t>1/5</t>
        </is>
      </c>
      <c r="K9" s="7" t="inlineStr"/>
      <c r="L9" s="10" t="n">
        <v>0.162</v>
      </c>
      <c r="M9" s="10" t="n">
        <v>-0.182</v>
      </c>
      <c r="N9" s="7" t="inlineStr">
        <is>
          <t>QUAN-953</t>
        </is>
      </c>
      <c r="O9" s="7" t="inlineStr">
        <is>
          <t>EXP-070-weekly-recentre-share50.md</t>
        </is>
      </c>
    </row>
    <row r="10">
      <c r="A10" s="7" t="inlineStr">
        <is>
          <t>EXP-071</t>
        </is>
      </c>
      <c r="B10" s="7" t="inlineStr">
        <is>
          <t>v6.58</t>
        </is>
      </c>
      <c r="C10" s="7" t="inlineStr">
        <is>
          <t>開發期淘汰</t>
        </is>
      </c>
      <c r="D10" s="7" t="inlineStr">
        <is>
          <t>否</t>
        </is>
      </c>
      <c r="E10" s="7" t="inlineStr">
        <is>
          <t>dev + holdout</t>
        </is>
      </c>
      <c r="F10" s="7" t="inlineStr">
        <is>
          <t>否</t>
        </is>
      </c>
      <c r="G10" s="7" t="inlineStr">
        <is>
          <t>只在價格高於100日均線時，每週日固定把區間重新置中一次</t>
        </is>
      </c>
      <c r="H10" s="7" t="inlineStr">
        <is>
          <t>weekly recentre only above EMA100 (v6.58)</t>
        </is>
      </c>
      <c r="I10" s="16" t="n">
        <v>0.02</v>
      </c>
      <c r="J10" s="7" t="inlineStr">
        <is>
          <t>3/5</t>
        </is>
      </c>
      <c r="K10" s="7" t="inlineStr"/>
      <c r="L10" s="10" t="n">
        <v>0.175</v>
      </c>
      <c r="M10" s="10" t="n">
        <v>-0.245</v>
      </c>
      <c r="N10" s="7" t="inlineStr">
        <is>
          <t>QUAN-954</t>
        </is>
      </c>
      <c r="O10" s="7" t="inlineStr">
        <is>
          <t>EXP-071-weekly-recentre-uptrend.md</t>
        </is>
      </c>
    </row>
    <row r="11">
      <c r="A11" s="7" t="inlineStr">
        <is>
          <t>EXP-072</t>
        </is>
      </c>
      <c r="B11" s="7" t="inlineStr">
        <is>
          <t>v6.59</t>
        </is>
      </c>
      <c r="C11" s="7" t="inlineStr">
        <is>
          <t>開發期淘汰</t>
        </is>
      </c>
      <c r="D11" s="7" t="inlineStr">
        <is>
          <t>否</t>
        </is>
      </c>
      <c r="E11" s="7" t="inlineStr">
        <is>
          <t>dev + holdout</t>
        </is>
      </c>
      <c r="F11" s="7" t="inlineStr">
        <is>
          <t>否</t>
        </is>
      </c>
      <c r="G11" s="7" t="inlineStr">
        <is>
          <t>價格低於100日均線時原地縮放區間，高於時才整個重新置中</t>
        </is>
      </c>
      <c r="H11" s="7" t="inlineStr">
        <is>
          <t>follow events below EMA100 resize in place; v6 recentre above (v6.59)</t>
        </is>
      </c>
      <c r="I11" s="16" t="n">
        <v>-1.87</v>
      </c>
      <c r="J11" s="7" t="inlineStr">
        <is>
          <t>0/5</t>
        </is>
      </c>
      <c r="K11" s="7" t="inlineStr"/>
      <c r="L11" s="10" t="n">
        <v>0.108</v>
      </c>
      <c r="M11" s="10" t="n">
        <v>-0.221</v>
      </c>
      <c r="N11" s="7" t="inlineStr">
        <is>
          <t>QUAN-955</t>
        </is>
      </c>
      <c r="O11" s="7" t="inlineStr">
        <is>
          <t>EXP-072-resize-below-ema.md</t>
        </is>
      </c>
    </row>
    <row r="12">
      <c r="A12" s="7" t="inlineStr">
        <is>
          <t>EXP-074</t>
        </is>
      </c>
      <c r="B12" s="7" t="inlineStr">
        <is>
          <t>v6.61</t>
        </is>
      </c>
      <c r="C12" s="7" t="inlineStr">
        <is>
          <t>開發期淘汰</t>
        </is>
      </c>
      <c r="D12" s="7" t="inlineStr">
        <is>
          <t>否</t>
        </is>
      </c>
      <c r="E12" s="7" t="inlineStr">
        <is>
          <t>dev + holdout</t>
        </is>
      </c>
      <c r="F12" s="7" t="inlineStr">
        <is>
          <t>否</t>
        </is>
      </c>
      <c r="G12" s="7" t="inlineStr">
        <is>
          <t>拿掉價格跑出區間後的重新擺放，看這條規則是否真的需要</t>
        </is>
      </c>
      <c r="H12" s="7" t="inlineStr">
        <is>
          <t>no range-exit rebuild (ablation) (v6.61)</t>
        </is>
      </c>
      <c r="I12" s="16" t="n">
        <v>-3.56</v>
      </c>
      <c r="J12" s="7" t="inlineStr">
        <is>
          <t>0/5</t>
        </is>
      </c>
      <c r="K12" s="7" t="inlineStr"/>
      <c r="L12" s="10" t="n">
        <v>0.114</v>
      </c>
      <c r="M12" s="10" t="n">
        <v>-0.17</v>
      </c>
      <c r="N12" s="7" t="inlineStr">
        <is>
          <t>QUAN-957</t>
        </is>
      </c>
      <c r="O12" s="7" t="inlineStr">
        <is>
          <t>EXP-074-no-exit-rebuild.md</t>
        </is>
      </c>
    </row>
    <row r="13">
      <c r="A13" s="7" t="inlineStr">
        <is>
          <t>EXP-075</t>
        </is>
      </c>
      <c r="B13" s="7" t="inlineStr">
        <is>
          <t>v6.62</t>
        </is>
      </c>
      <c r="C13" s="7" t="inlineStr">
        <is>
          <t>開發期淘汰</t>
        </is>
      </c>
      <c r="D13" s="7" t="inlineStr">
        <is>
          <t>否</t>
        </is>
      </c>
      <c r="E13" s="7" t="inlineStr">
        <is>
          <t>dev + holdout</t>
        </is>
      </c>
      <c r="F13" s="7" t="inlineStr">
        <is>
          <t>否</t>
        </is>
      </c>
      <c r="G13" s="7" t="inlineStr">
        <is>
          <t>價格往下跑出區間時不重新擺放，只有往上跑出時才重新置中</t>
        </is>
      </c>
      <c r="H13" s="7" t="inlineStr">
        <is>
          <t>no rebuild after downward range exits (ablation) (v6.62)</t>
        </is>
      </c>
      <c r="I13" s="16" t="n">
        <v>0</v>
      </c>
      <c r="J13" s="7" t="inlineStr">
        <is>
          <t>0/5</t>
        </is>
      </c>
      <c r="K13" s="7" t="inlineStr"/>
      <c r="L13" s="10" t="n">
        <v>0.139</v>
      </c>
      <c r="M13" s="10" t="n">
        <v>-0.228</v>
      </c>
      <c r="N13" s="7" t="inlineStr">
        <is>
          <t>QUAN-958</t>
        </is>
      </c>
      <c r="O13" s="7" t="inlineStr">
        <is>
          <t>EXP-075-no-down-exit-rebuild.md</t>
        </is>
      </c>
    </row>
    <row r="14">
      <c r="A14" s="7" t="inlineStr">
        <is>
          <t>EXP-135</t>
        </is>
      </c>
      <c r="B14" s="7" t="inlineStr">
        <is>
          <t>v6.121</t>
        </is>
      </c>
      <c r="C14" s="7" t="inlineStr">
        <is>
          <t>開發期淘汰</t>
        </is>
      </c>
      <c r="D14" s="7" t="inlineStr">
        <is>
          <t>否</t>
        </is>
      </c>
      <c r="E14" s="7" t="inlineStr">
        <is>
          <t>dev + holdout</t>
        </is>
      </c>
      <c r="F14" s="7" t="inlineStr">
        <is>
          <t>是</t>
        </is>
      </c>
      <c r="G14" s="7" t="inlineStr">
        <is>
          <t>創新低不補倉＋換幣走較便宜池子＋價格穿越100日均線使ETH占比切換時重擺區間</t>
        </is>
      </c>
      <c r="H14" s="7" t="inlineStr">
        <is>
          <t>v6.75 + routing + rebuild when the ETH share flips on every pool (v6.121)</t>
        </is>
      </c>
      <c r="I14" s="16" t="n">
        <v>-0.55</v>
      </c>
      <c r="J14" s="7" t="inlineStr">
        <is>
          <t>2/5</t>
        </is>
      </c>
      <c r="K14" s="7" t="inlineStr"/>
      <c r="L14" s="10" t="n">
        <v>0.153</v>
      </c>
      <c r="M14" s="10" t="n">
        <v>-0.245</v>
      </c>
      <c r="N14" s="7" t="inlineStr">
        <is>
          <t>QUAN-1020</t>
        </is>
      </c>
      <c r="O14" s="7" t="inlineStr">
        <is>
          <t>EXP-135-nolow-route-flip.md</t>
        </is>
      </c>
    </row>
    <row r="15">
      <c r="A15" s="17" t="inlineStr">
        <is>
          <t>EXP-137</t>
        </is>
      </c>
      <c r="B15" s="17" t="inlineStr">
        <is>
          <t>v6.123</t>
        </is>
      </c>
      <c r="C15" s="17" t="inlineStr">
        <is>
          <t>通過（holdout）</t>
        </is>
      </c>
      <c r="D15" s="17" t="inlineStr">
        <is>
          <t>是</t>
        </is>
      </c>
      <c r="E15" s="17" t="inlineStr">
        <is>
          <t>dev + holdout</t>
        </is>
      </c>
      <c r="F15" s="17" t="inlineStr">
        <is>
          <t>是</t>
        </is>
      </c>
      <c r="G15" s="17" t="inlineStr">
        <is>
          <t>創新低那天不補倉＋換幣改走較便宜的池子＋部署比例一上升就重新擺放區間</t>
        </is>
      </c>
      <c r="H15" s="17" t="inlineStr">
        <is>
          <t>v6.75 + routing + rebuild on every F rise on every pool (v6.123)</t>
        </is>
      </c>
      <c r="I15" s="18" t="n">
        <v>1.6</v>
      </c>
      <c r="J15" s="17" t="inlineStr">
        <is>
          <t>4/5</t>
        </is>
      </c>
      <c r="K15" s="17" t="inlineStr">
        <is>
          <t>2/2 windows (time-split)</t>
        </is>
      </c>
      <c r="L15" s="19" t="n">
        <v>0.164</v>
      </c>
      <c r="M15" s="19" t="n">
        <v>-0.245</v>
      </c>
      <c r="N15" s="17" t="inlineStr">
        <is>
          <t>QUAN-1021</t>
        </is>
      </c>
      <c r="O15" s="17" t="inlineStr">
        <is>
          <t>EXP-137-nolow-route-rise.md</t>
        </is>
      </c>
    </row>
    <row r="16">
      <c r="A16" s="17" t="inlineStr">
        <is>
          <t>EXP-142</t>
        </is>
      </c>
      <c r="B16" s="17" t="inlineStr">
        <is>
          <t>v6.128</t>
        </is>
      </c>
      <c r="C16" s="17" t="inlineStr">
        <is>
          <t>通過（holdout）</t>
        </is>
      </c>
      <c r="D16" s="17" t="inlineStr">
        <is>
          <t>是</t>
        </is>
      </c>
      <c r="E16" s="17" t="inlineStr">
        <is>
          <t>dev + holdout</t>
        </is>
      </c>
      <c r="F16" s="17" t="inlineStr">
        <is>
          <t>是</t>
        </is>
      </c>
      <c r="G16" s="17" t="inlineStr">
        <is>
          <t>創新低不補倉＋換幣走較便宜池子＋FOMC／CPI前後撤區間＋部署比例一升就重擺</t>
        </is>
      </c>
      <c r="H16" s="17" t="inlineStr">
        <is>
          <t>v6.75 + routing + macro restore + rise rebuild on every pool (v6.128)</t>
        </is>
      </c>
      <c r="I16" s="18" t="n">
        <v>1.73</v>
      </c>
      <c r="J16" s="17" t="inlineStr">
        <is>
          <t>4/5</t>
        </is>
      </c>
      <c r="K16" s="17" t="inlineStr">
        <is>
          <t>2/2 windows (time-split)</t>
        </is>
      </c>
      <c r="L16" s="19" t="n">
        <v>0.166</v>
      </c>
      <c r="M16" s="19" t="n">
        <v>-0.246</v>
      </c>
      <c r="N16" s="17" t="inlineStr">
        <is>
          <t>QUAN-1027</t>
        </is>
      </c>
      <c r="O16" s="17" t="inlineStr">
        <is>
          <t>EXP-142-nolow-route-macro-rise.md</t>
        </is>
      </c>
    </row>
    <row r="18">
      <c r="A18" s="20" t="inlineStr">
        <is>
          <t>重建時機：什麼時候重建區間、重心放哪裡</t>
        </is>
      </c>
    </row>
    <row r="19">
      <c r="A19" s="5" t="inlineStr">
        <is>
          <t>結論：上漲 / 比例翻轉時重建，跨時間不成立；通過的都含 v6.75</t>
        </is>
      </c>
    </row>
    <row r="20">
      <c r="A20" s="2" t="inlineStr">
        <is>
          <t>綠底 = 通過。ETH 連續 CAGR / 回撤是 registry 記錄的 ETH 連續回測；全歷史判定的逐池數字見各 EXP 文件。</t>
        </is>
      </c>
    </row>
  </sheetData>
  <autoFilter ref="A1:O16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EXP-006</t>
        </is>
      </c>
      <c r="B2" s="7" t="inlineStr">
        <is>
          <t>v6.6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半邊梯子：ETH 那半邊持現貨，只有 USDC 那半邊做 LP</t>
        </is>
      </c>
      <c r="H2" s="7" t="inlineStr">
        <is>
          <t>half ladder: base side held as spot; only the quote side LPd (v6.6)</t>
        </is>
      </c>
      <c r="I2" s="16" t="n">
        <v>0.6899999999999999</v>
      </c>
      <c r="J2" s="7" t="inlineStr">
        <is>
          <t>4/5</t>
        </is>
      </c>
      <c r="K2" s="7" t="inlineStr"/>
      <c r="L2" s="10" t="n">
        <v>0.238</v>
      </c>
      <c r="M2" s="10" t="n">
        <v>-0.289</v>
      </c>
      <c r="N2" s="7" t="inlineStr">
        <is>
          <t>QUAN-840</t>
        </is>
      </c>
      <c r="O2" s="7" t="inlineStr">
        <is>
          <t>EXP-006-half-ladder.md</t>
        </is>
      </c>
    </row>
    <row r="3">
      <c r="A3" s="7" t="inlineStr">
        <is>
          <t>EXP-007</t>
        </is>
      </c>
      <c r="B3" s="7" t="inlineStr">
        <is>
          <t>v6.7</t>
        </is>
      </c>
      <c r="C3" s="7" t="inlineStr">
        <is>
          <t>開發期淘汰</t>
        </is>
      </c>
      <c r="D3" s="7" t="inlineStr">
        <is>
          <t>否</t>
        </is>
      </c>
      <c r="E3" s="7" t="inlineStr">
        <is>
          <t>dev + holdout</t>
        </is>
      </c>
      <c r="F3" s="7" t="inlineStr">
        <is>
          <t>否</t>
        </is>
      </c>
      <c r="G3" s="7" t="inlineStr">
        <is>
          <t>只在 EMA100 一階、二階差分都 &gt; 0 時用半邊梯子</t>
        </is>
      </c>
      <c r="H3" s="7" t="inlineStr">
        <is>
          <t>half ladder only when EMA100 1st and 2nd differences &gt; 0 (v6.7)</t>
        </is>
      </c>
      <c r="I3" s="16" t="n">
        <v>-0.37</v>
      </c>
      <c r="J3" s="7" t="inlineStr">
        <is>
          <t>1/5</t>
        </is>
      </c>
      <c r="K3" s="7" t="inlineStr"/>
      <c r="L3" s="10" t="n">
        <v>0.194</v>
      </c>
      <c r="M3" s="10" t="n">
        <v>-0.279</v>
      </c>
      <c r="N3" s="7" t="inlineStr">
        <is>
          <t>QUAN-841</t>
        </is>
      </c>
      <c r="O3" s="7" t="inlineStr">
        <is>
          <t>EXP-007-half-ladder-when-accelerating.md</t>
        </is>
      </c>
    </row>
    <row r="4">
      <c r="A4" s="7" t="inlineStr">
        <is>
          <t>EXP-010</t>
        </is>
      </c>
      <c r="B4" s="7" t="inlineStr">
        <is>
          <t>v6.6r</t>
        </is>
      </c>
      <c r="C4" s="7" t="inlineStr">
        <is>
          <t>holdout 失敗</t>
        </is>
      </c>
      <c r="D4" s="7" t="inlineStr">
        <is>
          <t>否</t>
        </is>
      </c>
      <c r="E4" s="7" t="inlineStr">
        <is>
          <t>dev + holdout</t>
        </is>
      </c>
      <c r="F4" s="7" t="inlineStr">
        <is>
          <t>否</t>
        </is>
      </c>
      <c r="G4" s="7" t="inlineStr">
        <is>
          <t>v6.6 半邊梯子改用 Calmar 規則重新判定</t>
        </is>
      </c>
      <c r="H4" s="7" t="inlineStr">
        <is>
          <t>v6.6 half ladder re-registered under a Calmar rule (v6.6r)</t>
        </is>
      </c>
      <c r="I4" s="16" t="n">
        <v>0.6899999999999999</v>
      </c>
      <c r="J4" s="7" t="inlineStr">
        <is>
          <t>4/5</t>
        </is>
      </c>
      <c r="K4" s="7" t="inlineStr">
        <is>
          <t>2/4</t>
        </is>
      </c>
      <c r="L4" s="10" t="n">
        <v>0.238</v>
      </c>
      <c r="M4" s="10" t="n">
        <v>-0.289</v>
      </c>
      <c r="N4" s="7" t="inlineStr">
        <is>
          <t>QUAN-845</t>
        </is>
      </c>
      <c r="O4" s="7" t="inlineStr">
        <is>
          <t>EXP-010-half-ladder-calmar.md</t>
        </is>
      </c>
    </row>
    <row r="5">
      <c r="A5" s="7" t="inlineStr">
        <is>
          <t>EXP-013</t>
        </is>
      </c>
      <c r="B5" s="7" t="inlineStr">
        <is>
          <t>v6.10</t>
        </is>
      </c>
      <c r="C5" s="7" t="inlineStr">
        <is>
          <t>開發期淘汰</t>
        </is>
      </c>
      <c r="D5" s="7" t="inlineStr">
        <is>
          <t>否</t>
        </is>
      </c>
      <c r="E5" s="7" t="inlineStr">
        <is>
          <t>dev + holdout</t>
        </is>
      </c>
      <c r="F5" s="7" t="inlineStr">
        <is>
          <t>否</t>
        </is>
      </c>
      <c r="G5" s="7" t="inlineStr">
        <is>
          <t>趨勢偏移區間：谷型往 EMA100 趨勢方向偏 5 pt</t>
        </is>
      </c>
      <c r="H5" s="7" t="inlineStr">
        <is>
          <t>trend-skewed range: valley shifted 5 pts toward the EMA100 trend (v6.10)</t>
        </is>
      </c>
      <c r="I5" s="16" t="n">
        <v>-0.9399999999999999</v>
      </c>
      <c r="J5" s="7" t="inlineStr">
        <is>
          <t>1/5</t>
        </is>
      </c>
      <c r="K5" s="7" t="inlineStr"/>
      <c r="L5" s="10" t="n">
        <v>0.132</v>
      </c>
      <c r="M5" s="10" t="n">
        <v>-0.226</v>
      </c>
      <c r="N5" s="7" t="inlineStr">
        <is>
          <t>QUAN-858</t>
        </is>
      </c>
      <c r="O5" s="7" t="inlineStr">
        <is>
          <t>EXP-013-trend-skewed-range.md</t>
        </is>
      </c>
    </row>
    <row r="6">
      <c r="A6" s="7" t="inlineStr">
        <is>
          <t>EXP-030</t>
        </is>
      </c>
      <c r="B6" s="7" t="inlineStr">
        <is>
          <t>v6.25</t>
        </is>
      </c>
      <c r="C6" s="7" t="inlineStr">
        <is>
          <t>開發期淘汰</t>
        </is>
      </c>
      <c r="D6" s="7" t="inlineStr">
        <is>
          <t>否</t>
        </is>
      </c>
      <c r="E6" s="7" t="inlineStr">
        <is>
          <t>dev + holdout</t>
        </is>
      </c>
      <c r="F6" s="7" t="inlineStr">
        <is>
          <t>否</t>
        </is>
      </c>
      <c r="G6" s="7" t="inlineStr">
        <is>
          <t>梯子半寬 = 30 日 sigma × √30，限 10..30%</t>
        </is>
      </c>
      <c r="H6" s="7" t="inlineStr">
        <is>
          <t>ladder half-width = 30-day sigma x sqrt(30), 10..30%, instead of fixed ±20% (v6.25)</t>
        </is>
      </c>
      <c r="I6" s="16" t="n">
        <v>-3.66</v>
      </c>
      <c r="J6" s="7" t="inlineStr">
        <is>
          <t>1/5</t>
        </is>
      </c>
      <c r="K6" s="7" t="inlineStr"/>
      <c r="L6" s="10" t="n">
        <v>0.137</v>
      </c>
      <c r="M6" s="10" t="n">
        <v>-0.199</v>
      </c>
      <c r="N6" s="7" t="inlineStr">
        <is>
          <t>QUAN-882</t>
        </is>
      </c>
      <c r="O6" s="7" t="inlineStr">
        <is>
          <t>EXP-030-vol-scaled-width.md</t>
        </is>
      </c>
    </row>
    <row r="7">
      <c r="A7" s="17" t="inlineStr">
        <is>
          <t>EXP-034</t>
        </is>
      </c>
      <c r="B7" s="17" t="inlineStr">
        <is>
          <t>v6.25</t>
        </is>
      </c>
      <c r="C7" s="17" t="inlineStr">
        <is>
          <t>通過（holdout）</t>
        </is>
      </c>
      <c r="D7" s="17" t="inlineStr">
        <is>
          <t>是</t>
        </is>
      </c>
      <c r="E7" s="17" t="inlineStr">
        <is>
          <t>dev + holdout</t>
        </is>
      </c>
      <c r="F7" s="17" t="inlineStr">
        <is>
          <t>否</t>
        </is>
      </c>
      <c r="G7" s="17" t="inlineStr">
        <is>
          <t>波動率調寬（v6.25）單獨判定</t>
        </is>
      </c>
      <c r="H7" s="17" t="inlineStr">
        <is>
          <t>volatility-scaled ladder width (v6.25) judged standalone (v6.25r)</t>
        </is>
      </c>
      <c r="I7" s="18" t="n">
        <v>-3.66</v>
      </c>
      <c r="J7" s="17" t="inlineStr">
        <is>
          <t>1/5</t>
        </is>
      </c>
      <c r="K7" s="17" t="inlineStr">
        <is>
          <t>2/3 pools</t>
        </is>
      </c>
      <c r="L7" s="19" t="n">
        <v>0.137</v>
      </c>
      <c r="M7" s="19" t="n">
        <v>-0.199</v>
      </c>
      <c r="N7" s="17" t="inlineStr">
        <is>
          <t>QUAN-886</t>
        </is>
      </c>
      <c r="O7" s="17" t="inlineStr">
        <is>
          <t>EXP-034-vol-width-standalone.md</t>
        </is>
      </c>
    </row>
    <row r="8">
      <c r="A8" s="17" t="inlineStr">
        <is>
          <t>EXP-049</t>
        </is>
      </c>
      <c r="B8" s="17" t="inlineStr">
        <is>
          <t>v6.36</t>
        </is>
      </c>
      <c r="C8" s="17" t="inlineStr">
        <is>
          <t>通過（holdout）</t>
        </is>
      </c>
      <c r="D8" s="17" t="inlineStr">
        <is>
          <t>是</t>
        </is>
      </c>
      <c r="E8" s="17" t="inlineStr">
        <is>
          <t>dev + holdout</t>
        </is>
      </c>
      <c r="F8" s="17" t="inlineStr">
        <is>
          <t>否</t>
        </is>
      </c>
      <c r="G8" s="17" t="inlineStr">
        <is>
          <t>ETH 50% + 波動率調寬</t>
        </is>
      </c>
      <c r="H8" s="17" t="inlineStr">
        <is>
          <t>ETH share 50% + volatility-scaled ladder width (v6.36)</t>
        </is>
      </c>
      <c r="I8" s="18" t="n">
        <v>-2.04</v>
      </c>
      <c r="J8" s="17" t="inlineStr">
        <is>
          <t>1/5</t>
        </is>
      </c>
      <c r="K8" s="17" t="inlineStr">
        <is>
          <t>2/3 pools (standalone)</t>
        </is>
      </c>
      <c r="L8" s="19" t="n">
        <v>0.136</v>
      </c>
      <c r="M8" s="19" t="n">
        <v>-0.169</v>
      </c>
      <c r="N8" s="17" t="inlineStr">
        <is>
          <t>QUAN-901</t>
        </is>
      </c>
      <c r="O8" s="17" t="inlineStr">
        <is>
          <t>EXP-049-share50-vol-width.md</t>
        </is>
      </c>
    </row>
    <row r="9">
      <c r="A9" s="17" t="inlineStr">
        <is>
          <t>EXP-051</t>
        </is>
      </c>
      <c r="B9" s="17" t="inlineStr">
        <is>
          <t>v6.38</t>
        </is>
      </c>
      <c r="C9" s="17" t="inlineStr">
        <is>
          <t>通過（holdout）</t>
        </is>
      </c>
      <c r="D9" s="17" t="inlineStr">
        <is>
          <t>是</t>
        </is>
      </c>
      <c r="E9" s="17" t="inlineStr">
        <is>
          <t>dev + holdout</t>
        </is>
      </c>
      <c r="F9" s="17" t="inlineStr">
        <is>
          <t>否</t>
        </is>
      </c>
      <c r="G9" s="17" t="inlineStr">
        <is>
          <t>ETH 50% + 兩天確認 + 波動率調寬</t>
        </is>
      </c>
      <c r="H9" s="17" t="inlineStr">
        <is>
          <t>ETH share 50% + exit confirmation + volatility-scaled width (v6.38)</t>
        </is>
      </c>
      <c r="I9" s="18" t="n">
        <v>-4.56</v>
      </c>
      <c r="J9" s="17" t="inlineStr">
        <is>
          <t>0/5</t>
        </is>
      </c>
      <c r="K9" s="17" t="inlineStr">
        <is>
          <t>2/3 pools (standalone)</t>
        </is>
      </c>
      <c r="L9" s="19" t="n">
        <v>0.114</v>
      </c>
      <c r="M9" s="19" t="n">
        <v>-0.166</v>
      </c>
      <c r="N9" s="17" t="inlineStr">
        <is>
          <t>QUAN-903</t>
        </is>
      </c>
      <c r="O9" s="17" t="inlineStr">
        <is>
          <t>EXP-051-share50-confirm-vol-width.md</t>
        </is>
      </c>
    </row>
    <row r="10">
      <c r="A10" s="7" t="inlineStr">
        <is>
          <t>EXP-063</t>
        </is>
      </c>
      <c r="B10" s="7" t="inlineStr">
        <is>
          <t>v6.50</t>
        </is>
      </c>
      <c r="C10" s="7" t="inlineStr">
        <is>
          <t>holdout 失敗</t>
        </is>
      </c>
      <c r="D10" s="7" t="inlineStr">
        <is>
          <t>否</t>
        </is>
      </c>
      <c r="E10" s="7" t="inlineStr">
        <is>
          <t>dev + holdout</t>
        </is>
      </c>
      <c r="F10" s="7" t="inlineStr">
        <is>
          <t>否</t>
        </is>
      </c>
      <c r="G10" s="7" t="inlineStr">
        <is>
          <t>四條均線帳戶各自擺一段子區間，哪個帳戶狀態變了就只重擺它那一段</t>
        </is>
      </c>
      <c r="H10" s="7" t="inlineStr">
        <is>
          <t>one real sub-ladder per virtual EMA account; each rebuilt only when its account changes state (v6.50)</t>
        </is>
      </c>
      <c r="I10" s="16" t="n">
        <v>1.81</v>
      </c>
      <c r="J10" s="7" t="inlineStr">
        <is>
          <t>3/5</t>
        </is>
      </c>
      <c r="K10" s="7" t="inlineStr">
        <is>
          <t>1/2 windows (time-split)</t>
        </is>
      </c>
      <c r="L10" s="10" t="n">
        <v>0.146</v>
      </c>
      <c r="M10" s="10" t="n">
        <v>-0.237</v>
      </c>
      <c r="N10" s="7" t="inlineStr">
        <is>
          <t>QUAN-945</t>
        </is>
      </c>
      <c r="O10" s="7" t="inlineStr">
        <is>
          <t>EXP-063-account-tranches.md</t>
        </is>
      </c>
    </row>
    <row r="11">
      <c r="A11" s="7" t="inlineStr">
        <is>
          <t>EXP-073</t>
        </is>
      </c>
      <c r="B11" s="7" t="inlineStr">
        <is>
          <t>v6.60</t>
        </is>
      </c>
      <c r="C11" s="7" t="inlineStr">
        <is>
          <t>holdout 失敗</t>
        </is>
      </c>
      <c r="D11" s="7" t="inlineStr">
        <is>
          <t>否</t>
        </is>
      </c>
      <c r="E11" s="7" t="inlineStr">
        <is>
          <t>dev + holdout</t>
        </is>
      </c>
      <c r="F11" s="7" t="inlineStr">
        <is>
          <t>否</t>
        </is>
      </c>
      <c r="G11" s="7" t="inlineStr">
        <is>
          <t>ETH占比不分多空都固定70%，拿掉依100日均線切換占比看是否需要</t>
        </is>
      </c>
      <c r="H11" s="7" t="inlineStr">
        <is>
          <t>ETH share 70% in both trend states (ablation of the EMA100 share switch) (v6.60)</t>
        </is>
      </c>
      <c r="I11" s="16" t="n">
        <v>3.61</v>
      </c>
      <c r="J11" s="7" t="inlineStr">
        <is>
          <t>4/5</t>
        </is>
      </c>
      <c r="K11" s="7" t="inlineStr">
        <is>
          <t>1/2 windows (time-split)</t>
        </is>
      </c>
      <c r="L11" s="10" t="n">
        <v>0.171</v>
      </c>
      <c r="M11" s="10" t="n">
        <v>-0.247</v>
      </c>
      <c r="N11" s="7" t="inlineStr">
        <is>
          <t>QUAN-956</t>
        </is>
      </c>
      <c r="O11" s="7" t="inlineStr">
        <is>
          <t>EXP-073-share-70.md</t>
        </is>
      </c>
    </row>
    <row r="12">
      <c r="A12" s="7" t="inlineStr">
        <is>
          <t>EXP-153</t>
        </is>
      </c>
      <c r="B12" s="7" t="inlineStr">
        <is>
          <t>v6.139</t>
        </is>
      </c>
      <c r="C12" s="7" t="inlineStr">
        <is>
          <t>失敗（全歷史）</t>
        </is>
      </c>
      <c r="D12" s="7" t="inlineStr">
        <is>
          <t>否</t>
        </is>
      </c>
      <c r="E12" s="7" t="inlineStr">
        <is>
          <t>全歷史</t>
        </is>
      </c>
      <c r="F12" s="7" t="inlineStr">
        <is>
          <t>否</t>
        </is>
      </c>
      <c r="G12" s="7" t="inlineStr">
        <is>
          <t>價格在100日均線上方時區間全放ETH，只擺現價往上+20%那半邊</t>
        </is>
      </c>
      <c r="H12" s="7" t="inlineStr">
        <is>
          <t>one-sided ETH ladder above EMA100: ETH share 100% while the close is above EMA100 (v6.139)</t>
        </is>
      </c>
      <c r="I12" s="16" t="n">
        <v>1.63</v>
      </c>
      <c r="J12" s="7" t="inlineStr">
        <is>
          <t>3/5</t>
        </is>
      </c>
      <c r="K12" s="7" t="inlineStr">
        <is>
          <t>full-history 1/7 pools (no BTC win)</t>
        </is>
      </c>
      <c r="L12" s="10" t="n">
        <v>0.139</v>
      </c>
      <c r="M12" s="10" t="n">
        <v>-0.254</v>
      </c>
      <c r="N12" s="7" t="inlineStr">
        <is>
          <t>QUAN-1038</t>
        </is>
      </c>
      <c r="O12" s="7" t="inlineStr">
        <is>
          <t>EXP-153-one-sided-above-ema.md</t>
        </is>
      </c>
    </row>
    <row r="13">
      <c r="A13" s="7" t="inlineStr">
        <is>
          <t>EXP-154</t>
        </is>
      </c>
      <c r="B13" s="7" t="inlineStr">
        <is>
          <t>v6.140</t>
        </is>
      </c>
      <c r="C13" s="7" t="inlineStr">
        <is>
          <t>失敗（全歷史）</t>
        </is>
      </c>
      <c r="D13" s="7" t="inlineStr">
        <is>
          <t>否</t>
        </is>
      </c>
      <c r="E13" s="7" t="inlineStr">
        <is>
          <t>全歷史</t>
        </is>
      </c>
      <c r="F13" s="7" t="inlineStr">
        <is>
          <t>否</t>
        </is>
      </c>
      <c r="G13" s="7" t="inlineStr">
        <is>
          <t>價格在100日均線上方時，流動性區間改成上方+40%、下方-20%</t>
        </is>
      </c>
      <c r="H13" s="7" t="inlineStr">
        <is>
          <t>asymmetric ladder +40% / -20% while the close is above EMA100 (v6.140)</t>
        </is>
      </c>
      <c r="I13" s="16" t="n">
        <v>-0.28</v>
      </c>
      <c r="J13" s="7" t="inlineStr">
        <is>
          <t>2/5</t>
        </is>
      </c>
      <c r="K13" s="7" t="inlineStr">
        <is>
          <t>full-history 3/7 pools (ETH 3 of 4 valid; no BTC win)</t>
        </is>
      </c>
      <c r="L13" s="10" t="n">
        <v>0.173</v>
      </c>
      <c r="M13" s="10" t="n">
        <v>-0.246</v>
      </c>
      <c r="N13" s="7" t="inlineStr">
        <is>
          <t>QUAN-1039</t>
        </is>
      </c>
      <c r="O13" s="7" t="inlineStr">
        <is>
          <t>EXP-154-wide-top-above-ema.md</t>
        </is>
      </c>
    </row>
    <row r="14">
      <c r="A14" s="7" t="inlineStr">
        <is>
          <t>EXP-164</t>
        </is>
      </c>
      <c r="B14" s="7" t="inlineStr">
        <is>
          <t>v6.149</t>
        </is>
      </c>
      <c r="C14" s="7" t="inlineStr">
        <is>
          <t>失敗（全歷史）</t>
        </is>
      </c>
      <c r="D14" s="7" t="inlineStr">
        <is>
          <t>否</t>
        </is>
      </c>
      <c r="E14" s="7" t="inlineStr">
        <is>
          <t>全歷史</t>
        </is>
      </c>
      <c r="F14" s="7" t="inlineStr">
        <is>
          <t>是</t>
        </is>
      </c>
      <c r="G14" s="7" t="inlineStr">
        <is>
          <t>創新低那天不補倉，且價格在100日均線上方時區間改成上+40%、下-20%</t>
        </is>
      </c>
      <c r="H14" s="7" t="inlineStr">
        <is>
          <t>v6.75 + +40% / -20% ladder above EMA100 on every pool on spec v1 (v6.149)</t>
        </is>
      </c>
      <c r="I14" s="7" t="n"/>
      <c r="J14" s="7" t="inlineStr"/>
      <c r="K14" s="7" t="inlineStr">
        <is>
          <t>full-history 2/7 pools (ETH 2 of 5; BTC 0 of 2)</t>
        </is>
      </c>
      <c r="L14" s="7" t="n"/>
      <c r="M14" s="7" t="n"/>
      <c r="N14" s="7" t="inlineStr">
        <is>
          <t>QUAN-1051</t>
        </is>
      </c>
      <c r="O14" s="7" t="inlineStr">
        <is>
          <t>EXP-164-nolow-widetop-specv1.md</t>
        </is>
      </c>
    </row>
    <row r="15">
      <c r="A15" s="7" t="inlineStr">
        <is>
          <t>EXP-165</t>
        </is>
      </c>
      <c r="B15" s="7" t="inlineStr">
        <is>
          <t>v6.150</t>
        </is>
      </c>
      <c r="C15" s="7" t="inlineStr">
        <is>
          <t>失敗（全歷史）</t>
        </is>
      </c>
      <c r="D15" s="7" t="inlineStr">
        <is>
          <t>否</t>
        </is>
      </c>
      <c r="E15" s="7" t="inlineStr">
        <is>
          <t>全歷史</t>
        </is>
      </c>
      <c r="F15" s="7" t="inlineStr">
        <is>
          <t>否</t>
        </is>
      </c>
      <c r="G15" s="7" t="inlineStr">
        <is>
          <t>梯子半寬 = ETH DVOL 一個月預期波動（10..30%）</t>
        </is>
      </c>
      <c r="H15" s="7" t="inlineStr">
        <is>
          <t>ladder half-width = ETH DVOL one-month move (10..30%) instead of fixed ±20% on spec v1 (v6.150)</t>
        </is>
      </c>
      <c r="I15" s="7" t="n"/>
      <c r="J15" s="7" t="inlineStr"/>
      <c r="K15" s="7" t="inlineStr">
        <is>
          <t>full-history 0/1 pools (ETH/USDC 0x88e6)</t>
        </is>
      </c>
      <c r="L15" s="10" t="n">
        <v>0.112</v>
      </c>
      <c r="M15" s="10" t="n">
        <v>-0.248</v>
      </c>
      <c r="N15" s="7" t="inlineStr">
        <is>
          <t>QUAN-1071</t>
        </is>
      </c>
      <c r="O15" s="7" t="inlineStr">
        <is>
          <t>EXP-165-width-dvol.md</t>
        </is>
      </c>
    </row>
    <row r="16">
      <c r="A16" s="7" t="inlineStr">
        <is>
          <t>EXP-166</t>
        </is>
      </c>
      <c r="B16" s="7" t="inlineStr">
        <is>
          <t>v6.151</t>
        </is>
      </c>
      <c r="C16" s="7" t="inlineStr">
        <is>
          <t>失敗（全歷史）</t>
        </is>
      </c>
      <c r="D16" s="7" t="inlineStr">
        <is>
          <t>否</t>
        </is>
      </c>
      <c r="E16" s="7" t="inlineStr">
        <is>
          <t>全歷史</t>
        </is>
      </c>
      <c r="F16" s="7" t="inlineStr">
        <is>
          <t>否</t>
        </is>
      </c>
      <c r="G16" s="7" t="inlineStr">
        <is>
          <t>梯子半寬 = 0.10 + 0.40 × ER30（效率比，10..30%）</t>
        </is>
      </c>
      <c r="H16" s="7" t="inlineStr">
        <is>
          <t>ladder half-width = 0.10 + 0.40 x ER30 (10..30%) instead of fixed ±20%; ETH/USDC spec v1 and WBTC/ETH v6 (v6.151)</t>
        </is>
      </c>
      <c r="I16" s="7" t="n"/>
      <c r="J16" s="7" t="inlineStr"/>
      <c r="K16" s="7" t="inlineStr">
        <is>
          <t>full-history 0/2 pools (ETH/USDC 0x88e6; WBTC/ETH 0x4585)</t>
        </is>
      </c>
      <c r="L16" s="10" t="n">
        <v>0.096</v>
      </c>
      <c r="M16" s="10" t="n">
        <v>-0.318</v>
      </c>
      <c r="N16" s="7" t="inlineStr">
        <is>
          <t>QUAN-1072</t>
        </is>
      </c>
      <c r="O16" s="7" t="inlineStr">
        <is>
          <t>EXP-166-width-er30.md</t>
        </is>
      </c>
    </row>
    <row r="17">
      <c r="A17" s="7" t="inlineStr">
        <is>
          <t>EXP-167</t>
        </is>
      </c>
      <c r="B17" s="7" t="inlineStr">
        <is>
          <t>v6.152</t>
        </is>
      </c>
      <c r="C17" s="7" t="inlineStr">
        <is>
          <t>失敗（全歷史）</t>
        </is>
      </c>
      <c r="D17" s="7" t="inlineStr">
        <is>
          <t>否</t>
        </is>
      </c>
      <c r="E17" s="7" t="inlineStr">
        <is>
          <t>全歷史</t>
        </is>
      </c>
      <c r="F17" s="7" t="inlineStr">
        <is>
          <t>否</t>
        </is>
      </c>
      <c r="G17" s="7" t="inlineStr">
        <is>
          <t>梯子半寬 = 0.10 + 0.20 × F（10..30%）</t>
        </is>
      </c>
      <c r="H17" s="7" t="inlineStr">
        <is>
          <t>ladder half-width = 0.10 + 0.20 x F (10..30%) instead of fixed ±20%; ETH/USDC spec v1 and WBTC/ETH v6 (v6.152)</t>
        </is>
      </c>
      <c r="I17" s="7" t="n"/>
      <c r="J17" s="7" t="inlineStr"/>
      <c r="K17" s="7" t="inlineStr">
        <is>
          <t>full-history 1/2 pools (WBTC/ETH 0x4585 win; ETH/USDC 0x88e6 lose)</t>
        </is>
      </c>
      <c r="L17" s="10" t="n">
        <v>0.103</v>
      </c>
      <c r="M17" s="10" t="n">
        <v>-0.245</v>
      </c>
      <c r="N17" s="7" t="inlineStr">
        <is>
          <t>QUAN-1073</t>
        </is>
      </c>
      <c r="O17" s="7" t="inlineStr">
        <is>
          <t>EXP-167-width-F.md</t>
        </is>
      </c>
    </row>
    <row r="18">
      <c r="A18" s="7" t="inlineStr">
        <is>
          <t>EXP-168</t>
        </is>
      </c>
      <c r="B18" s="7" t="inlineStr">
        <is>
          <t>v6.153</t>
        </is>
      </c>
      <c r="C18" s="7" t="inlineStr">
        <is>
          <t>失敗（全歷史）</t>
        </is>
      </c>
      <c r="D18" s="7" t="inlineStr">
        <is>
          <t>否</t>
        </is>
      </c>
      <c r="E18" s="7" t="inlineStr">
        <is>
          <t>全歷史</t>
        </is>
      </c>
      <c r="F18" s="7" t="inlineStr">
        <is>
          <t>否</t>
        </is>
      </c>
      <c r="G18" s="7" t="inlineStr">
        <is>
          <t>回補期間（0 &lt; F &lt; 1）梯子下緣設在回補低點</t>
        </is>
      </c>
      <c r="H18" s="7" t="inlineStr">
        <is>
          <t>while 0 &lt; F &lt; 1 the ladder's lower edge sits at the refill low (10..30%); ETH/USDC spec v1 and WBTC/ETH v6 (v6.153)</t>
        </is>
      </c>
      <c r="I18" s="7" t="n"/>
      <c r="J18" s="7" t="inlineStr"/>
      <c r="K18" s="7" t="inlineStr">
        <is>
          <t>full-history 0/2 pools (ETH/USDC 0x88e6; WBTC/ETH 0x4585)</t>
        </is>
      </c>
      <c r="L18" s="10" t="n">
        <v>0.129</v>
      </c>
      <c r="M18" s="10" t="n">
        <v>-0.218</v>
      </c>
      <c r="N18" s="7" t="inlineStr">
        <is>
          <t>QUAN-1074</t>
        </is>
      </c>
      <c r="O18" s="7" t="inlineStr">
        <is>
          <t>EXP-168-width-refill-low.md</t>
        </is>
      </c>
    </row>
    <row r="19">
      <c r="A19" s="7" t="inlineStr">
        <is>
          <t>EXP-169</t>
        </is>
      </c>
      <c r="B19" s="7" t="inlineStr">
        <is>
          <t>v6.154</t>
        </is>
      </c>
      <c r="C19" s="7" t="inlineStr">
        <is>
          <t>失敗（全歷史）</t>
        </is>
      </c>
      <c r="D19" s="7" t="inlineStr">
        <is>
          <t>否</t>
        </is>
      </c>
      <c r="E19" s="7" t="inlineStr">
        <is>
          <t>全歷史</t>
        </is>
      </c>
      <c r="F19" s="7" t="inlineStr">
        <is>
          <t>是</t>
        </is>
      </c>
      <c r="G19" s="7" t="inlineStr">
        <is>
          <t>EXP-168 的下緣 + v6.75</t>
        </is>
      </c>
      <c r="H19" s="7" t="inlineStr">
        <is>
          <t>EXP-168's refill-low lower edge + v6.75 no-new-low refill (v6.154)</t>
        </is>
      </c>
      <c r="I19" s="7" t="n"/>
      <c r="J19" s="7" t="inlineStr"/>
      <c r="K19" s="7" t="inlineStr">
        <is>
          <t>full-history stage 1 1/2 (ETH/USDC win; WBTC/ETH lose)</t>
        </is>
      </c>
      <c r="L19" s="10" t="n">
        <v>0.145</v>
      </c>
      <c r="M19" s="10" t="n">
        <v>-0.224</v>
      </c>
      <c r="N19" s="7" t="inlineStr">
        <is>
          <t>QUAN-1075</t>
        </is>
      </c>
      <c r="O19" s="7" t="inlineStr">
        <is>
          <t>EXP-169-rl-nolow.md</t>
        </is>
      </c>
    </row>
    <row r="20">
      <c r="A20" s="7" t="inlineStr">
        <is>
          <t>EXP-170</t>
        </is>
      </c>
      <c r="B20" s="7" t="inlineStr">
        <is>
          <t>v6.155</t>
        </is>
      </c>
      <c r="C20" s="7" t="inlineStr">
        <is>
          <t>失敗（全歷史）</t>
        </is>
      </c>
      <c r="D20" s="7" t="inlineStr">
        <is>
          <t>否</t>
        </is>
      </c>
      <c r="E20" s="7" t="inlineStr">
        <is>
          <t>全歷史</t>
        </is>
      </c>
      <c r="F20" s="7" t="inlineStr">
        <is>
          <t>否</t>
        </is>
      </c>
      <c r="G20" s="7" t="inlineStr">
        <is>
          <t>EXP-168 的下緣 + ETH 50%</t>
        </is>
      </c>
      <c r="H20" s="7" t="inlineStr">
        <is>
          <t>EXP-168's refill-low lower edge + ETH share fixed at 50% (v6.155)</t>
        </is>
      </c>
      <c r="I20" s="7" t="n"/>
      <c r="J20" s="7" t="inlineStr"/>
      <c r="K20" s="7" t="inlineStr">
        <is>
          <t>full-history stage 1 1/2 (WBTC/ETH win; ETH/USDC lose)</t>
        </is>
      </c>
      <c r="L20" s="10" t="n">
        <v>0.132</v>
      </c>
      <c r="M20" s="10" t="n">
        <v>-0.18</v>
      </c>
      <c r="N20" s="7" t="inlineStr">
        <is>
          <t>QUAN-1076</t>
        </is>
      </c>
      <c r="O20" s="7" t="inlineStr">
        <is>
          <t>EXP-170-rl-share50.md</t>
        </is>
      </c>
    </row>
    <row r="21">
      <c r="A21" s="7" t="inlineStr">
        <is>
          <t>EXP-171</t>
        </is>
      </c>
      <c r="B21" s="7" t="inlineStr">
        <is>
          <t>v6.156</t>
        </is>
      </c>
      <c r="C21" s="7" t="inlineStr">
        <is>
          <t>失敗（全歷史）</t>
        </is>
      </c>
      <c r="D21" s="7" t="inlineStr">
        <is>
          <t>否</t>
        </is>
      </c>
      <c r="E21" s="7" t="inlineStr">
        <is>
          <t>全歷史</t>
        </is>
      </c>
      <c r="F21" s="7" t="inlineStr">
        <is>
          <t>否</t>
        </is>
      </c>
      <c r="G21" s="7" t="inlineStr">
        <is>
          <t>EXP-168 的下緣 + 取消引擎下緣停損</t>
        </is>
      </c>
      <c r="H21" s="7" t="inlineStr">
        <is>
          <t>EXP-168's refill-low lower edge + no engine lower stop (v6.156)</t>
        </is>
      </c>
      <c r="I21" s="7" t="n"/>
      <c r="J21" s="7" t="inlineStr"/>
      <c r="K21" s="7" t="inlineStr">
        <is>
          <t>full-history stage 1 0/2</t>
        </is>
      </c>
      <c r="L21" s="10" t="n">
        <v>0.061</v>
      </c>
      <c r="M21" s="10" t="n">
        <v>-0.481</v>
      </c>
      <c r="N21" s="7" t="inlineStr">
        <is>
          <t>QUAN-1077</t>
        </is>
      </c>
      <c r="O21" s="7" t="inlineStr">
        <is>
          <t>EXP-171-rl-nostop.md</t>
        </is>
      </c>
    </row>
    <row r="22">
      <c r="A22" s="7" t="inlineStr">
        <is>
          <t>EXP-172</t>
        </is>
      </c>
      <c r="B22" s="7" t="inlineStr">
        <is>
          <t>v6.157</t>
        </is>
      </c>
      <c r="C22" s="7" t="inlineStr">
        <is>
          <t>失敗（全歷史）</t>
        </is>
      </c>
      <c r="D22" s="7" t="inlineStr">
        <is>
          <t>否</t>
        </is>
      </c>
      <c r="E22" s="7" t="inlineStr">
        <is>
          <t>全歷史</t>
        </is>
      </c>
      <c r="F22" s="7" t="inlineStr">
        <is>
          <t>是</t>
        </is>
      </c>
      <c r="G22" s="7" t="inlineStr">
        <is>
          <t>EXP-168 的下緣 + v6.75 + ETH 50%</t>
        </is>
      </c>
      <c r="H22" s="7" t="inlineStr">
        <is>
          <t>EXP-168's refill-low lower edge + v6.75 + ETH share 50% (v6.157)</t>
        </is>
      </c>
      <c r="I22" s="7" t="n"/>
      <c r="J22" s="7" t="inlineStr"/>
      <c r="K22" s="7" t="inlineStr">
        <is>
          <t>full-history stage 1 2/2; stage 2 3/7 pools (ETH 3 of 5; BTC 0 of 2)</t>
        </is>
      </c>
      <c r="L22" s="10" t="n">
        <v>0.139</v>
      </c>
      <c r="M22" s="10" t="n">
        <v>-0.187</v>
      </c>
      <c r="N22" s="7" t="inlineStr">
        <is>
          <t>QUAN-1078</t>
        </is>
      </c>
      <c r="O22" s="7" t="inlineStr">
        <is>
          <t>EXP-172-rl-nolow-share50.md</t>
        </is>
      </c>
    </row>
    <row r="23">
      <c r="A23" s="7" t="inlineStr">
        <is>
          <t>EXP-173</t>
        </is>
      </c>
      <c r="B23" s="7" t="inlineStr">
        <is>
          <t>v6.158</t>
        </is>
      </c>
      <c r="C23" s="7" t="inlineStr">
        <is>
          <t>失敗（全歷史）</t>
        </is>
      </c>
      <c r="D23" s="7" t="inlineStr">
        <is>
          <t>否</t>
        </is>
      </c>
      <c r="E23" s="7" t="inlineStr">
        <is>
          <t>全歷史</t>
        </is>
      </c>
      <c r="F23" s="7" t="inlineStr">
        <is>
          <t>是</t>
        </is>
      </c>
      <c r="G23" s="7" t="inlineStr">
        <is>
          <t>v6.75 + F = 1 時上緣延到 +40%</t>
        </is>
      </c>
      <c r="H23" s="7" t="inlineStr">
        <is>
          <t>v6.75 + +40% upper reach only while F = 1 (v6.158)</t>
        </is>
      </c>
      <c r="I23" s="7" t="n"/>
      <c r="J23" s="7" t="inlineStr"/>
      <c r="K23" s="7" t="inlineStr">
        <is>
          <t>full-history 1/7 pools (ETH 1 of 5; BTC 0 of 2); WBTC/ETH win</t>
        </is>
      </c>
      <c r="L23" s="10" t="n">
        <v>0.168</v>
      </c>
      <c r="M23" s="10" t="n">
        <v>-0.262</v>
      </c>
      <c r="N23" s="7" t="inlineStr">
        <is>
          <t>QUAN-1079</t>
        </is>
      </c>
      <c r="O23" s="7" t="inlineStr">
        <is>
          <t>EXP-173-nolow-fulltop.md</t>
        </is>
      </c>
    </row>
    <row r="24">
      <c r="A24" s="7" t="inlineStr">
        <is>
          <t>EXP-174</t>
        </is>
      </c>
      <c r="B24" s="7" t="inlineStr">
        <is>
          <t>v6.159</t>
        </is>
      </c>
      <c r="C24" s="7" t="inlineStr">
        <is>
          <t>失敗（全歷史）</t>
        </is>
      </c>
      <c r="D24" s="7" t="inlineStr">
        <is>
          <t>否</t>
        </is>
      </c>
      <c r="E24" s="7" t="inlineStr">
        <is>
          <t>全歷史</t>
        </is>
      </c>
      <c r="F24" s="7" t="inlineStr">
        <is>
          <t>是</t>
        </is>
      </c>
      <c r="G24" s="7" t="inlineStr">
        <is>
          <t>v6.75 + F = 1 時上緣 +40% + 回補期間下緣在回補低點</t>
        </is>
      </c>
      <c r="H24" s="7" t="inlineStr">
        <is>
          <t>v6.75 + +40% upper reach while F = 1 + refill-low lower edge while refilling (v6.159)</t>
        </is>
      </c>
      <c r="I24" s="7" t="n"/>
      <c r="J24" s="7" t="inlineStr"/>
      <c r="K24" s="7" t="inlineStr">
        <is>
          <t>full-history 3/7 pools (ETH 3 of 5; BTC 0 of 2); WBTC/ETH win</t>
        </is>
      </c>
      <c r="L24" s="10" t="n">
        <v>0.162</v>
      </c>
      <c r="M24" s="10" t="n">
        <v>-0.251</v>
      </c>
      <c r="N24" s="7" t="inlineStr">
        <is>
          <t>QUAN-1080</t>
        </is>
      </c>
      <c r="O24" s="7" t="inlineStr">
        <is>
          <t>EXP-174-nolow-fulltop-rl.md</t>
        </is>
      </c>
    </row>
    <row r="26">
      <c r="A26" s="20" t="inlineStr">
        <is>
          <t>區間寬度與形狀：±20% 谷型的寬度、偏移、半邊梯子</t>
        </is>
      </c>
    </row>
    <row r="27">
      <c r="A27" s="5" t="inlineStr">
        <is>
          <t>結論：固定 ±20% 保留：5 條動態寬度規則全輸；+40% 上緣回撤較深、輸 BTC</t>
        </is>
      </c>
    </row>
    <row r="28">
      <c r="A28" s="2" t="inlineStr">
        <is>
          <t>綠底 = 通過。ETH 連續 CAGR / 回撤是 registry 記錄的 ETH 連續回測；全歷史判定的逐池數字見各 EXP 文件。</t>
        </is>
      </c>
    </row>
  </sheetData>
  <autoFilter ref="A1:O2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EXP-029</t>
        </is>
      </c>
      <c r="B2" s="7" t="inlineStr">
        <is>
          <t>v6.24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ETH 比例 s 隨收盤價高於幾條 EMA 而變</t>
        </is>
      </c>
      <c r="H2" s="7" t="inlineStr">
        <is>
          <t>ETH value share s moves with the share of EMA spans the close is above (v6.24)</t>
        </is>
      </c>
      <c r="I2" s="16" t="n">
        <v>-0.02</v>
      </c>
      <c r="J2" s="7" t="inlineStr">
        <is>
          <t>1/5</t>
        </is>
      </c>
      <c r="K2" s="7" t="inlineStr"/>
      <c r="L2" s="10" t="n">
        <v>0.141</v>
      </c>
      <c r="M2" s="10" t="n">
        <v>-0.231</v>
      </c>
      <c r="N2" s="7" t="inlineStr">
        <is>
          <t>QUAN-881</t>
        </is>
      </c>
      <c r="O2" s="7" t="inlineStr">
        <is>
          <t>EXP-029-share-by-armed.md</t>
        </is>
      </c>
    </row>
    <row r="3">
      <c r="A3" s="17" t="inlineStr">
        <is>
          <t>EXP-046</t>
        </is>
      </c>
      <c r="B3" s="17" t="inlineStr">
        <is>
          <t>v6.33</t>
        </is>
      </c>
      <c r="C3" s="17" t="inlineStr">
        <is>
          <t>通過（holdout）</t>
        </is>
      </c>
      <c r="D3" s="17" t="inlineStr">
        <is>
          <t>是</t>
        </is>
      </c>
      <c r="E3" s="17" t="inlineStr">
        <is>
          <t>dev + holdout</t>
        </is>
      </c>
      <c r="F3" s="17" t="inlineStr">
        <is>
          <t>否</t>
        </is>
      </c>
      <c r="G3" s="17" t="inlineStr">
        <is>
          <t>ETH 比例固定 50%（拿掉 EMA100 比例規則）</t>
        </is>
      </c>
      <c r="H3" s="17" t="inlineStr">
        <is>
          <t>ETH value share fixed at 50% (ablation of the EMA100 share rule) (v6.33)</t>
        </is>
      </c>
      <c r="I3" s="18" t="n">
        <v>-3.29</v>
      </c>
      <c r="J3" s="17" t="inlineStr">
        <is>
          <t>1/5</t>
        </is>
      </c>
      <c r="K3" s="17" t="inlineStr">
        <is>
          <t>3/3 pools (standalone)</t>
        </is>
      </c>
      <c r="L3" s="19" t="n">
        <v>0.139</v>
      </c>
      <c r="M3" s="19" t="n">
        <v>-0.187</v>
      </c>
      <c r="N3" s="17" t="inlineStr">
        <is>
          <t>QUAN-898</t>
        </is>
      </c>
      <c r="O3" s="17" t="inlineStr">
        <is>
          <t>EXP-046-share-50.md</t>
        </is>
      </c>
    </row>
    <row r="5">
      <c r="A5" s="20" t="inlineStr">
        <is>
          <t>ETH 比例 s：LP 裡 ETH 佔 70% / 50% 的規則</t>
        </is>
      </c>
    </row>
    <row r="6">
      <c r="A6" s="5" t="inlineStr">
        <is>
          <t>結論：固定 50% 單獨表現一樣好：EMA100 比例規則貢獻小</t>
        </is>
      </c>
    </row>
    <row r="7">
      <c r="A7" s="2" t="inlineStr">
        <is>
          <t>綠底 = 通過。ETH 連續 CAGR / 回撤是 registry 記錄的 ETH 連續回測；全歷史判定的逐池數字見各 EXP 文件。</t>
        </is>
      </c>
    </row>
  </sheetData>
  <autoFilter ref="A1:O3"/>
  <hyperlinks>
    <hyperlink xmlns:r="http://schemas.openxmlformats.org/officeDocument/2006/relationships" ref="N2" r:id="rId1"/>
    <hyperlink xmlns:r="http://schemas.openxmlformats.org/officeDocument/2006/relationships" ref="N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EXP-059</t>
        </is>
      </c>
      <c r="B2" s="7" t="inlineStr">
        <is>
          <t>v6.46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FOMC／CPI公布前30分鐘撤下區間，2小時後用撤出的幣原位放回</t>
        </is>
      </c>
      <c r="H2" s="7" t="inlineStr">
        <is>
          <t>pull the ladder 30 min before to 2 h after scheduled FOMC / CPI releases (v6.46)</t>
        </is>
      </c>
      <c r="I2" s="16" t="n">
        <v>0.13</v>
      </c>
      <c r="J2" s="7" t="inlineStr">
        <is>
          <t>3/5</t>
        </is>
      </c>
      <c r="K2" s="7" t="inlineStr"/>
      <c r="L2" s="10" t="n">
        <v>0.158</v>
      </c>
      <c r="M2" s="10" t="n">
        <v>-0.221</v>
      </c>
      <c r="N2" s="7" t="inlineStr">
        <is>
          <t>QUAN-941</t>
        </is>
      </c>
      <c r="O2" s="7" t="inlineStr">
        <is>
          <t>EXP-059-macro-event-pause.md</t>
        </is>
      </c>
    </row>
    <row r="3">
      <c r="A3" s="7" t="inlineStr">
        <is>
          <t>EXP-060</t>
        </is>
      </c>
      <c r="B3" s="7" t="inlineStr">
        <is>
          <t>v6.47</t>
        </is>
      </c>
      <c r="C3" s="7" t="inlineStr">
        <is>
          <t>holdout 失敗</t>
        </is>
      </c>
      <c r="D3" s="7" t="inlineStr">
        <is>
          <t>否</t>
        </is>
      </c>
      <c r="E3" s="7" t="inlineStr">
        <is>
          <t>dev + holdout</t>
        </is>
      </c>
      <c r="F3" s="7" t="inlineStr">
        <is>
          <t>否</t>
        </is>
      </c>
      <c r="G3" s="7" t="inlineStr">
        <is>
          <t>FOMC／CPI公布前30分鐘撤下區間，2小時後先換幣再照原樣精確放回</t>
        </is>
      </c>
      <c r="H3" s="7" t="inlineStr">
        <is>
          <t>FOMC / CPI pause with an exact restore of every band's liquidity (v6.47)</t>
        </is>
      </c>
      <c r="I3" s="16" t="n">
        <v>0.11</v>
      </c>
      <c r="J3" s="7" t="inlineStr">
        <is>
          <t>4/5</t>
        </is>
      </c>
      <c r="K3" s="7" t="inlineStr">
        <is>
          <t>1/2 windows (time-split)</t>
        </is>
      </c>
      <c r="L3" s="10" t="n">
        <v>0.142</v>
      </c>
      <c r="M3" s="10" t="n">
        <v>-0.23</v>
      </c>
      <c r="N3" s="7" t="inlineStr">
        <is>
          <t>QUAN-942</t>
        </is>
      </c>
      <c r="O3" s="7" t="inlineStr">
        <is>
          <t>EXP-060-macro-pause-restore.md</t>
        </is>
      </c>
    </row>
    <row r="4">
      <c r="A4" s="17" t="inlineStr">
        <is>
          <t>EXP-122</t>
        </is>
      </c>
      <c r="B4" s="17" t="inlineStr">
        <is>
          <t>v6.109</t>
        </is>
      </c>
      <c r="C4" s="17" t="inlineStr">
        <is>
          <t>通過（holdout）</t>
        </is>
      </c>
      <c r="D4" s="17" t="inlineStr">
        <is>
          <t>是</t>
        </is>
      </c>
      <c r="E4" s="17" t="inlineStr">
        <is>
          <t>dev + holdout</t>
        </is>
      </c>
      <c r="F4" s="17" t="inlineStr">
        <is>
          <t>是</t>
        </is>
      </c>
      <c r="G4" s="17" t="inlineStr">
        <is>
          <t>創新低那天不補倉，加上FOMC／CPI公布前後暫撤區間、之後照原樣放回</t>
        </is>
      </c>
      <c r="H4" s="17" t="inlineStr">
        <is>
          <t>v6.75 plus macro pause with exact restore on every pool (v6.109)</t>
        </is>
      </c>
      <c r="I4" s="18" t="n">
        <v>0.58</v>
      </c>
      <c r="J4" s="17" t="inlineStr">
        <is>
          <t>4/5</t>
        </is>
      </c>
      <c r="K4" s="17" t="inlineStr">
        <is>
          <t>2/2 windows (time-split)</t>
        </is>
      </c>
      <c r="L4" s="19" t="n">
        <v>0.156</v>
      </c>
      <c r="M4" s="19" t="n">
        <v>-0.244</v>
      </c>
      <c r="N4" s="17" t="inlineStr">
        <is>
          <t>QUAN-1007</t>
        </is>
      </c>
      <c r="O4" s="17" t="inlineStr">
        <is>
          <t>EXP-122-nolow-macro.md</t>
        </is>
      </c>
    </row>
    <row r="5">
      <c r="A5" s="17" t="inlineStr">
        <is>
          <t>EXP-126</t>
        </is>
      </c>
      <c r="B5" s="17" t="inlineStr">
        <is>
          <t>v6.113</t>
        </is>
      </c>
      <c r="C5" s="17" t="inlineStr">
        <is>
          <t>通過（holdout）</t>
        </is>
      </c>
      <c r="D5" s="17" t="inlineStr">
        <is>
          <t>是</t>
        </is>
      </c>
      <c r="E5" s="17" t="inlineStr">
        <is>
          <t>dev + holdout</t>
        </is>
      </c>
      <c r="F5" s="17" t="inlineStr">
        <is>
          <t>是</t>
        </is>
      </c>
      <c r="G5" s="17" t="inlineStr">
        <is>
          <t>創新低不補倉＋FOMC／CPI前後暫撤區間再原樣放回＋換幣改走較便宜的池子</t>
        </is>
      </c>
      <c r="H5" s="17" t="inlineStr">
        <is>
          <t>v6.75 + macro restore + cheapest-tier routing on every pool (v6.113)</t>
        </is>
      </c>
      <c r="I5" s="18" t="n">
        <v>0.58</v>
      </c>
      <c r="J5" s="17" t="inlineStr">
        <is>
          <t>4/5</t>
        </is>
      </c>
      <c r="K5" s="17" t="inlineStr">
        <is>
          <t>2/2 windows (time-split)</t>
        </is>
      </c>
      <c r="L5" s="19" t="n">
        <v>0.156</v>
      </c>
      <c r="M5" s="19" t="n">
        <v>-0.244</v>
      </c>
      <c r="N5" s="17" t="inlineStr">
        <is>
          <t>QUAN-1011</t>
        </is>
      </c>
      <c r="O5" s="17" t="inlineStr">
        <is>
          <t>EXP-126-nolow-macro-route.md</t>
        </is>
      </c>
    </row>
    <row r="6">
      <c r="A6" s="17" t="inlineStr">
        <is>
          <t>EXP-159</t>
        </is>
      </c>
      <c r="B6" s="17" t="inlineStr">
        <is>
          <t>v6.144</t>
        </is>
      </c>
      <c r="C6" s="17" t="inlineStr">
        <is>
          <t>通過（全歷史）</t>
        </is>
      </c>
      <c r="D6" s="17" t="inlineStr">
        <is>
          <t>是</t>
        </is>
      </c>
      <c r="E6" s="17" t="inlineStr">
        <is>
          <t>全歷史</t>
        </is>
      </c>
      <c r="F6" s="17" t="inlineStr">
        <is>
          <t>是</t>
        </is>
      </c>
      <c r="G6" s="17" t="inlineStr">
        <is>
          <t>創新低不補倉＋另一個幣也反彈才補倉＋FOMC／CPI前後暫撤區間再原樣放回</t>
        </is>
      </c>
      <c r="H6" s="17" t="inlineStr">
        <is>
          <t>v6.75 + cross-asset refill + macro restore on every pool on spec v1 (v6.144)</t>
        </is>
      </c>
      <c r="I6" s="17" t="n"/>
      <c r="J6" s="17" t="inlineStr"/>
      <c r="K6" s="17" t="inlineStr">
        <is>
          <t>full-history 4/7 pools (ETH 3 of 5; BTC 1 of 2)</t>
        </is>
      </c>
      <c r="L6" s="17" t="n"/>
      <c r="M6" s="17" t="n"/>
      <c r="N6" s="17" t="inlineStr">
        <is>
          <t>QUAN-1046</t>
        </is>
      </c>
      <c r="O6" s="17" t="inlineStr">
        <is>
          <t>EXP-159-nolow-xasset-macro-specv1.md</t>
        </is>
      </c>
    </row>
    <row r="7">
      <c r="A7" s="17" t="inlineStr">
        <is>
          <t>EXP-160</t>
        </is>
      </c>
      <c r="B7" s="17" t="inlineStr">
        <is>
          <t>v6.145</t>
        </is>
      </c>
      <c r="C7" s="17" t="inlineStr">
        <is>
          <t>通過（全歷史）</t>
        </is>
      </c>
      <c r="D7" s="17" t="inlineStr">
        <is>
          <t>是</t>
        </is>
      </c>
      <c r="E7" s="17" t="inlineStr">
        <is>
          <t>全歷史</t>
        </is>
      </c>
      <c r="F7" s="17" t="inlineStr">
        <is>
          <t>是</t>
        </is>
      </c>
      <c r="G7" s="17" t="inlineStr">
        <is>
          <t>創新低那天不補倉，FOMC／CPI公布前後暫撤區間再原樣放回（新基準 spec v1）</t>
        </is>
      </c>
      <c r="H7" s="17" t="inlineStr">
        <is>
          <t>v6.75 + macro restore on every pool on spec v1 (v6.145)</t>
        </is>
      </c>
      <c r="I7" s="17" t="n"/>
      <c r="J7" s="17" t="inlineStr"/>
      <c r="K7" s="17" t="inlineStr">
        <is>
          <t>full-history 5/7 pools (ETH 3 of 5; BTC 2 of 2)</t>
        </is>
      </c>
      <c r="L7" s="17" t="n"/>
      <c r="M7" s="17" t="n"/>
      <c r="N7" s="17" t="inlineStr">
        <is>
          <t>QUAN-1047</t>
        </is>
      </c>
      <c r="O7" s="17" t="inlineStr">
        <is>
          <t>EXP-160-nolow-macro-specv1.md</t>
        </is>
      </c>
    </row>
    <row r="9">
      <c r="A9" s="20" t="inlineStr">
        <is>
          <t>總經事件：CPI / FOMC 等事件前後撤出或恢復</t>
        </is>
      </c>
    </row>
    <row r="10">
      <c r="A10" s="5" t="inlineStr">
        <is>
          <t>結論：ETH +0.4 pt CAGR，但重建次數翻倍（gas 未計）</t>
        </is>
      </c>
    </row>
    <row r="11">
      <c r="A11" s="2" t="inlineStr">
        <is>
          <t>綠底 = 通過。ETH 連續 CAGR / 回撤是 registry 記錄的 ETH 連續回測；全歷史判定的逐池數字見各 EXP 文件。</t>
        </is>
      </c>
    </row>
  </sheetData>
  <autoFilter ref="A1:O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EXP-102</t>
        </is>
      </c>
      <c r="B2" s="7" t="inlineStr">
        <is>
          <t>v6.89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高費池：補倉起算低點改用盤中最低價；低費池：當天收紅才補倉</t>
        </is>
      </c>
      <c r="H2" s="7" t="inlineStr">
        <is>
          <t>refill pace by fee tier: wick-anchored on 0.3% and up-day on 0.05% (v6.89)</t>
        </is>
      </c>
      <c r="I2" s="16" t="n">
        <v>-1.42</v>
      </c>
      <c r="J2" s="7" t="inlineStr">
        <is>
          <t>2/5</t>
        </is>
      </c>
      <c r="K2" s="7" t="inlineStr"/>
      <c r="L2" s="10" t="n">
        <v>0.158</v>
      </c>
      <c r="M2" s="10" t="n">
        <v>-0.233</v>
      </c>
      <c r="N2" s="7" t="inlineStr">
        <is>
          <t>QUAN-986</t>
        </is>
      </c>
      <c r="O2" s="7" t="inlineStr">
        <is>
          <t>EXP-102-tier-pace.md</t>
        </is>
      </c>
    </row>
    <row r="3">
      <c r="A3" s="17" t="inlineStr">
        <is>
          <t>EXP-103</t>
        </is>
      </c>
      <c r="B3" s="17" t="inlineStr">
        <is>
          <t>v6.90</t>
        </is>
      </c>
      <c r="C3" s="17" t="inlineStr">
        <is>
          <t>通過（holdout）</t>
        </is>
      </c>
      <c r="D3" s="17" t="inlineStr">
        <is>
          <t>是</t>
        </is>
      </c>
      <c r="E3" s="17" t="inlineStr">
        <is>
          <t>dev + holdout</t>
        </is>
      </c>
      <c r="F3" s="17" t="inlineStr">
        <is>
          <t>是</t>
        </is>
      </c>
      <c r="G3" s="17" t="inlineStr">
        <is>
          <t>高費池：盤中一跌破就觸發下方停損；低費池：創新低那天不補倉</t>
        </is>
      </c>
      <c r="H3" s="17" t="inlineStr">
        <is>
          <t>fee tier: intraday stop on 0.3% and no-new-low refill on 0.05% (v6.90)</t>
        </is>
      </c>
      <c r="I3" s="18" t="n">
        <v>0.47</v>
      </c>
      <c r="J3" s="17" t="inlineStr">
        <is>
          <t>4/5</t>
        </is>
      </c>
      <c r="K3" s="17" t="inlineStr">
        <is>
          <t>2/2 windows (time-split)</t>
        </is>
      </c>
      <c r="L3" s="19" t="n">
        <v>0.154</v>
      </c>
      <c r="M3" s="19" t="n">
        <v>-0.243</v>
      </c>
      <c r="N3" s="17" t="inlineStr">
        <is>
          <t>QUAN-987</t>
        </is>
      </c>
      <c r="O3" s="17" t="inlineStr">
        <is>
          <t>EXP-103-tier-stop-nolow.md</t>
        </is>
      </c>
    </row>
    <row r="4">
      <c r="A4" s="17" t="inlineStr">
        <is>
          <t>EXP-104</t>
        </is>
      </c>
      <c r="B4" s="17" t="inlineStr">
        <is>
          <t>v6.91</t>
        </is>
      </c>
      <c r="C4" s="17" t="inlineStr">
        <is>
          <t>通過（holdout）</t>
        </is>
      </c>
      <c r="D4" s="17" t="inlineStr">
        <is>
          <t>是</t>
        </is>
      </c>
      <c r="E4" s="17" t="inlineStr">
        <is>
          <t>dev + holdout</t>
        </is>
      </c>
      <c r="F4" s="17" t="inlineStr">
        <is>
          <t>是</t>
        </is>
      </c>
      <c r="G4" s="17" t="inlineStr">
        <is>
          <t>高費池：成交量確認才補倉；低費池：創新低那天不補倉</t>
        </is>
      </c>
      <c r="H4" s="17" t="inlineStr">
        <is>
          <t>fee tier: volume-confirmed refill on 0.3% and no-new-low refill on 0.05% (v6.91)</t>
        </is>
      </c>
      <c r="I4" s="18" t="n">
        <v>0.47</v>
      </c>
      <c r="J4" s="17" t="inlineStr">
        <is>
          <t>4/5</t>
        </is>
      </c>
      <c r="K4" s="17" t="inlineStr">
        <is>
          <t>2/2 windows (time-split)</t>
        </is>
      </c>
      <c r="L4" s="19" t="n">
        <v>0.154</v>
      </c>
      <c r="M4" s="19" t="n">
        <v>-0.243</v>
      </c>
      <c r="N4" s="17" t="inlineStr">
        <is>
          <t>QUAN-988</t>
        </is>
      </c>
      <c r="O4" s="17" t="inlineStr">
        <is>
          <t>EXP-104-tier-vol-nolow.md</t>
        </is>
      </c>
    </row>
    <row r="5">
      <c r="A5" s="7" t="inlineStr">
        <is>
          <t>EXP-110</t>
        </is>
      </c>
      <c r="B5" s="7" t="inlineStr">
        <is>
          <t>v6.97</t>
        </is>
      </c>
      <c r="C5" s="7" t="inlineStr">
        <is>
          <t>holdout 失敗</t>
        </is>
      </c>
      <c r="D5" s="7" t="inlineStr">
        <is>
          <t>否</t>
        </is>
      </c>
      <c r="E5" s="7" t="inlineStr">
        <is>
          <t>dev + holdout</t>
        </is>
      </c>
      <c r="F5" s="7" t="inlineStr">
        <is>
          <t>是</t>
        </is>
      </c>
      <c r="G5" s="7" t="inlineStr">
        <is>
          <t>高費池：補倉起算低點改用盤中最低價；低費池：創新低那天不補倉</t>
        </is>
      </c>
      <c r="H5" s="7" t="inlineStr">
        <is>
          <t>fee tier: wick-anchored refill on 0.3% and no-new-low refill on 0.05% (v6.97)</t>
        </is>
      </c>
      <c r="I5" s="16" t="n">
        <v>0.47</v>
      </c>
      <c r="J5" s="7" t="inlineStr">
        <is>
          <t>4/5</t>
        </is>
      </c>
      <c r="K5" s="7" t="inlineStr">
        <is>
          <t>1/2 windows (time-split)</t>
        </is>
      </c>
      <c r="L5" s="10" t="n">
        <v>0.154</v>
      </c>
      <c r="M5" s="10" t="n">
        <v>-0.243</v>
      </c>
      <c r="N5" s="7" t="inlineStr">
        <is>
          <t>QUAN-994</t>
        </is>
      </c>
      <c r="O5" s="7" t="inlineStr">
        <is>
          <t>EXP-110-tier-wick-nolow.md</t>
        </is>
      </c>
    </row>
    <row r="6">
      <c r="A6" s="7" t="inlineStr">
        <is>
          <t>EXP-111</t>
        </is>
      </c>
      <c r="B6" s="7" t="inlineStr">
        <is>
          <t>v6.98</t>
        </is>
      </c>
      <c r="C6" s="7" t="inlineStr">
        <is>
          <t>開發期淘汰</t>
        </is>
      </c>
      <c r="D6" s="7" t="inlineStr">
        <is>
          <t>否</t>
        </is>
      </c>
      <c r="E6" s="7" t="inlineStr">
        <is>
          <t>dev + holdout</t>
        </is>
      </c>
      <c r="F6" s="7" t="inlineStr">
        <is>
          <t>是</t>
        </is>
      </c>
      <c r="G6" s="7" t="inlineStr">
        <is>
          <t>高費池：成交量確認才補倉；低費池：創新低那天不補倉＋跑出區間連兩天才重擺</t>
        </is>
      </c>
      <c r="H6" s="7" t="inlineStr">
        <is>
          <t>fee tier: volume refill on 0.3% and v6.75 + exit confirmation on 0.05% (v6.98)</t>
        </is>
      </c>
      <c r="I6" s="16" t="n">
        <v>-2.42</v>
      </c>
      <c r="J6" s="7" t="inlineStr">
        <is>
          <t>2/5</t>
        </is>
      </c>
      <c r="K6" s="7" t="inlineStr"/>
      <c r="L6" s="10" t="n">
        <v>0.172</v>
      </c>
      <c r="M6" s="10" t="n">
        <v>-0.212</v>
      </c>
      <c r="N6" s="7" t="inlineStr">
        <is>
          <t>QUAN-995</t>
        </is>
      </c>
      <c r="O6" s="7" t="inlineStr">
        <is>
          <t>EXP-111-tier-vol-nolowconfirm.md</t>
        </is>
      </c>
    </row>
    <row r="7">
      <c r="A7" s="17" t="inlineStr">
        <is>
          <t>EXP-112</t>
        </is>
      </c>
      <c r="B7" s="17" t="inlineStr">
        <is>
          <t>v6.99</t>
        </is>
      </c>
      <c r="C7" s="17" t="inlineStr">
        <is>
          <t>通過（holdout）</t>
        </is>
      </c>
      <c r="D7" s="17" t="inlineStr">
        <is>
          <t>是</t>
        </is>
      </c>
      <c r="E7" s="17" t="inlineStr">
        <is>
          <t>dev + holdout</t>
        </is>
      </c>
      <c r="F7" s="17" t="inlineStr">
        <is>
          <t>是</t>
        </is>
      </c>
      <c r="G7" s="17" t="inlineStr">
        <is>
          <t>高費池：盤中跌破就停損＋成交量確認才補倉；低費池：創新低那天不補倉</t>
        </is>
      </c>
      <c r="H7" s="17" t="inlineStr">
        <is>
          <t>fee tier: intraday stop + volume refill on 0.3% and v6.75 on 0.05% (v6.99)</t>
        </is>
      </c>
      <c r="I7" s="18" t="n">
        <v>0.47</v>
      </c>
      <c r="J7" s="17" t="inlineStr">
        <is>
          <t>4/5</t>
        </is>
      </c>
      <c r="K7" s="17" t="inlineStr">
        <is>
          <t>2/2 windows (time-split)</t>
        </is>
      </c>
      <c r="L7" s="19" t="n">
        <v>0.154</v>
      </c>
      <c r="M7" s="19" t="n">
        <v>-0.243</v>
      </c>
      <c r="N7" s="17" t="inlineStr">
        <is>
          <t>QUAN-997</t>
        </is>
      </c>
      <c r="O7" s="17" t="inlineStr">
        <is>
          <t>EXP-112-tier-stopvol-nolow.md</t>
        </is>
      </c>
    </row>
    <row r="8">
      <c r="A8" s="7" t="inlineStr">
        <is>
          <t>EXP-113</t>
        </is>
      </c>
      <c r="B8" s="7" t="inlineStr">
        <is>
          <t>v6.100</t>
        </is>
      </c>
      <c r="C8" s="7" t="inlineStr">
        <is>
          <t>開發期淘汰</t>
        </is>
      </c>
      <c r="D8" s="7" t="inlineStr">
        <is>
          <t>否</t>
        </is>
      </c>
      <c r="E8" s="7" t="inlineStr">
        <is>
          <t>dev + holdout</t>
        </is>
      </c>
      <c r="F8" s="7" t="inlineStr">
        <is>
          <t>是</t>
        </is>
      </c>
      <c r="G8" s="7" t="inlineStr">
        <is>
          <t>高費池：成交量確認才補倉；低費池：創新低那天不補倉＋ETH占比固定70%</t>
        </is>
      </c>
      <c r="H8" s="7" t="inlineStr">
        <is>
          <t>fee tier: volume refill on 0.3% and v6.75 + ETH share 70% on 0.05% (v6.100)</t>
        </is>
      </c>
      <c r="I8" s="16" t="n">
        <v>5.37</v>
      </c>
      <c r="J8" s="7" t="inlineStr">
        <is>
          <t>4/5</t>
        </is>
      </c>
      <c r="K8" s="7" t="inlineStr"/>
      <c r="L8" s="10" t="n">
        <v>0.186</v>
      </c>
      <c r="M8" s="10" t="n">
        <v>-0.261</v>
      </c>
      <c r="N8" s="7" t="inlineStr">
        <is>
          <t>QUAN-998</t>
        </is>
      </c>
      <c r="O8" s="7" t="inlineStr">
        <is>
          <t>EXP-113-tier-vol-nolow70.md</t>
        </is>
      </c>
    </row>
    <row r="9">
      <c r="A9" s="17" t="inlineStr">
        <is>
          <t>EXP-114</t>
        </is>
      </c>
      <c r="B9" s="17" t="inlineStr">
        <is>
          <t>v6.101</t>
        </is>
      </c>
      <c r="C9" s="17" t="inlineStr">
        <is>
          <t>通過（holdout）</t>
        </is>
      </c>
      <c r="D9" s="17" t="inlineStr">
        <is>
          <t>是</t>
        </is>
      </c>
      <c r="E9" s="17" t="inlineStr">
        <is>
          <t>dev + holdout</t>
        </is>
      </c>
      <c r="F9" s="17" t="inlineStr">
        <is>
          <t>是</t>
        </is>
      </c>
      <c r="G9" s="17" t="inlineStr">
        <is>
          <t>高費池：拿掉下方停損＋成交量確認才補倉；低費池：創新低那天不補倉</t>
        </is>
      </c>
      <c r="H9" s="17" t="inlineStr">
        <is>
          <t>fee tier: no lower stop + volume refill on 0.3% and v6.75 on 0.05% (v6.101)</t>
        </is>
      </c>
      <c r="I9" s="18" t="n">
        <v>0.47</v>
      </c>
      <c r="J9" s="17" t="inlineStr">
        <is>
          <t>4/5</t>
        </is>
      </c>
      <c r="K9" s="17" t="inlineStr">
        <is>
          <t>2/2 windows (time-split)</t>
        </is>
      </c>
      <c r="L9" s="19" t="n">
        <v>0.154</v>
      </c>
      <c r="M9" s="19" t="n">
        <v>-0.243</v>
      </c>
      <c r="N9" s="17" t="inlineStr">
        <is>
          <t>QUAN-999</t>
        </is>
      </c>
      <c r="O9" s="17" t="inlineStr">
        <is>
          <t>EXP-114-tier-nostopvol-nolow.md</t>
        </is>
      </c>
    </row>
    <row r="10">
      <c r="A10" s="17" t="inlineStr">
        <is>
          <t>EXP-115</t>
        </is>
      </c>
      <c r="B10" s="17" t="inlineStr">
        <is>
          <t>v6.102</t>
        </is>
      </c>
      <c r="C10" s="17" t="inlineStr">
        <is>
          <t>通過（holdout）</t>
        </is>
      </c>
      <c r="D10" s="17" t="inlineStr">
        <is>
          <t>是</t>
        </is>
      </c>
      <c r="E10" s="17" t="inlineStr">
        <is>
          <t>dev + holdout</t>
        </is>
      </c>
      <c r="F10" s="17" t="inlineStr">
        <is>
          <t>是</t>
        </is>
      </c>
      <c r="G10" s="17" t="inlineStr">
        <is>
          <t>高費池：盤中跌破就停損＋四條均線各擺一段區間；低費池：創新低那天不補倉</t>
        </is>
      </c>
      <c r="H10" s="17" t="inlineStr">
        <is>
          <t>fee tier: account tranches + intraday stop on 0.3% and v6.75 on 0.05% (v6.102)</t>
        </is>
      </c>
      <c r="I10" s="18" t="n">
        <v>0.47</v>
      </c>
      <c r="J10" s="17" t="inlineStr">
        <is>
          <t>4/5</t>
        </is>
      </c>
      <c r="K10" s="17" t="inlineStr">
        <is>
          <t>2/2 windows (time-split)</t>
        </is>
      </c>
      <c r="L10" s="19" t="n">
        <v>0.154</v>
      </c>
      <c r="M10" s="19" t="n">
        <v>-0.243</v>
      </c>
      <c r="N10" s="17" t="inlineStr">
        <is>
          <t>QUAN-1000</t>
        </is>
      </c>
      <c r="O10" s="17" t="inlineStr">
        <is>
          <t>EXP-115-tier-tranchestop-nolow.md</t>
        </is>
      </c>
    </row>
    <row r="11">
      <c r="A11" s="7" t="inlineStr">
        <is>
          <t>EXP-116</t>
        </is>
      </c>
      <c r="B11" s="7" t="inlineStr">
        <is>
          <t>v6.103</t>
        </is>
      </c>
      <c r="C11" s="7" t="inlineStr">
        <is>
          <t>開發期淘汰</t>
        </is>
      </c>
      <c r="D11" s="7" t="inlineStr">
        <is>
          <t>否</t>
        </is>
      </c>
      <c r="E11" s="7" t="inlineStr">
        <is>
          <t>dev + holdout</t>
        </is>
      </c>
      <c r="F11" s="7" t="inlineStr">
        <is>
          <t>是</t>
        </is>
      </c>
      <c r="G11" s="7" t="inlineStr">
        <is>
          <t>高費池：盤中跌破就停損；低費池：創新低那天不補倉＋ETH占比固定70%</t>
        </is>
      </c>
      <c r="H11" s="7" t="inlineStr">
        <is>
          <t>fee tier: intraday stop on 0.3% and v6.75 + ETH share 70% on 0.05% (v6.103)</t>
        </is>
      </c>
      <c r="I11" s="16" t="n">
        <v>5.37</v>
      </c>
      <c r="J11" s="7" t="inlineStr">
        <is>
          <t>4/5</t>
        </is>
      </c>
      <c r="K11" s="7" t="inlineStr"/>
      <c r="L11" s="10" t="n">
        <v>0.186</v>
      </c>
      <c r="M11" s="10" t="n">
        <v>-0.261</v>
      </c>
      <c r="N11" s="7" t="inlineStr">
        <is>
          <t>QUAN-1001</t>
        </is>
      </c>
      <c r="O11" s="7" t="inlineStr">
        <is>
          <t>EXP-116-tier-stop-nolow70.md</t>
        </is>
      </c>
    </row>
    <row r="12">
      <c r="A12" s="17" t="inlineStr">
        <is>
          <t>EXP-118</t>
        </is>
      </c>
      <c r="B12" s="17" t="inlineStr">
        <is>
          <t>v6.105</t>
        </is>
      </c>
      <c r="C12" s="17" t="inlineStr">
        <is>
          <t>通過（holdout）</t>
        </is>
      </c>
      <c r="D12" s="17" t="inlineStr">
        <is>
          <t>是</t>
        </is>
      </c>
      <c r="E12" s="17" t="inlineStr">
        <is>
          <t>dev + holdout</t>
        </is>
      </c>
      <c r="F12" s="17" t="inlineStr">
        <is>
          <t>是</t>
        </is>
      </c>
      <c r="G12" s="17" t="inlineStr">
        <is>
          <t>高費池：成交量確認才補倉＋四條均線各擺一段區間；低費池：創新低那天不補倉</t>
        </is>
      </c>
      <c r="H12" s="17" t="inlineStr">
        <is>
          <t>fee tier: account tranches + volume refill on 0.3% and v6.75 on 0.05% (v6.105)</t>
        </is>
      </c>
      <c r="I12" s="18" t="n">
        <v>0.47</v>
      </c>
      <c r="J12" s="17" t="inlineStr">
        <is>
          <t>4/5</t>
        </is>
      </c>
      <c r="K12" s="17" t="inlineStr">
        <is>
          <t>2/2 windows (time-split)</t>
        </is>
      </c>
      <c r="L12" s="19" t="n">
        <v>0.154</v>
      </c>
      <c r="M12" s="19" t="n">
        <v>-0.243</v>
      </c>
      <c r="N12" s="17" t="inlineStr">
        <is>
          <t>QUAN-1003</t>
        </is>
      </c>
      <c r="O12" s="17" t="inlineStr">
        <is>
          <t>EXP-118-tier-tranchevol-nolow.md</t>
        </is>
      </c>
    </row>
    <row r="13">
      <c r="A13" s="17" t="inlineStr">
        <is>
          <t>EXP-119</t>
        </is>
      </c>
      <c r="B13" s="17" t="inlineStr">
        <is>
          <t>v6.106</t>
        </is>
      </c>
      <c r="C13" s="17" t="inlineStr">
        <is>
          <t>通過（holdout）</t>
        </is>
      </c>
      <c r="D13" s="17" t="inlineStr">
        <is>
          <t>是</t>
        </is>
      </c>
      <c r="E13" s="17" t="inlineStr">
        <is>
          <t>dev + holdout</t>
        </is>
      </c>
      <c r="F13" s="17" t="inlineStr">
        <is>
          <t>是</t>
        </is>
      </c>
      <c r="G13" s="17" t="inlineStr">
        <is>
          <t>高費池：拿掉下方停損＋四條均線各擺一段區間；低費池：創新低那天不補倉</t>
        </is>
      </c>
      <c r="H13" s="17" t="inlineStr">
        <is>
          <t>fee tier: no lower stop + account tranches on 0.3% and v6.75 on 0.05% (v6.106)</t>
        </is>
      </c>
      <c r="I13" s="18" t="n">
        <v>0.47</v>
      </c>
      <c r="J13" s="17" t="inlineStr">
        <is>
          <t>4/5</t>
        </is>
      </c>
      <c r="K13" s="17" t="inlineStr">
        <is>
          <t>2/2 windows (time-split)</t>
        </is>
      </c>
      <c r="L13" s="19" t="n">
        <v>0.154</v>
      </c>
      <c r="M13" s="19" t="n">
        <v>-0.243</v>
      </c>
      <c r="N13" s="17" t="inlineStr">
        <is>
          <t>QUAN-1004</t>
        </is>
      </c>
      <c r="O13" s="17" t="inlineStr">
        <is>
          <t>EXP-119-tier-nostoptranche-nolow.md</t>
        </is>
      </c>
    </row>
    <row r="14">
      <c r="A14" s="17" t="inlineStr">
        <is>
          <t>EXP-120</t>
        </is>
      </c>
      <c r="B14" s="17" t="inlineStr">
        <is>
          <t>v6.107</t>
        </is>
      </c>
      <c r="C14" s="17" t="inlineStr">
        <is>
          <t>通過（holdout）</t>
        </is>
      </c>
      <c r="D14" s="17" t="inlineStr">
        <is>
          <t>是</t>
        </is>
      </c>
      <c r="E14" s="17" t="inlineStr">
        <is>
          <t>dev + holdout</t>
        </is>
      </c>
      <c r="F14" s="17" t="inlineStr">
        <is>
          <t>是</t>
        </is>
      </c>
      <c r="G14" s="17" t="inlineStr">
        <is>
          <t>高費池：盤中停損＋量確認才補倉；低費池：創新低不補倉＋FOMC／CPI前後撤區間</t>
        </is>
      </c>
      <c r="H14" s="17" t="inlineStr">
        <is>
          <t>fee tier: intraday stop + volume refill on 0.3% and v6.75 + macro restore on 0.05% (v6.107)</t>
        </is>
      </c>
      <c r="I14" s="18" t="n">
        <v>0.58</v>
      </c>
      <c r="J14" s="17" t="inlineStr">
        <is>
          <t>4/5</t>
        </is>
      </c>
      <c r="K14" s="17" t="inlineStr">
        <is>
          <t>2/2 windows (time-split)</t>
        </is>
      </c>
      <c r="L14" s="19" t="n">
        <v>0.156</v>
      </c>
      <c r="M14" s="19" t="n">
        <v>-0.244</v>
      </c>
      <c r="N14" s="17" t="inlineStr">
        <is>
          <t>QUAN-1005</t>
        </is>
      </c>
      <c r="O14" s="17" t="inlineStr">
        <is>
          <t>EXP-120-tier-stopvol-nolowmacro.md</t>
        </is>
      </c>
    </row>
    <row r="15">
      <c r="A15" s="17" t="inlineStr">
        <is>
          <t>EXP-121</t>
        </is>
      </c>
      <c r="B15" s="17" t="inlineStr">
        <is>
          <t>v6.108</t>
        </is>
      </c>
      <c r="C15" s="17" t="inlineStr">
        <is>
          <t>通過（holdout）</t>
        </is>
      </c>
      <c r="D15" s="17" t="inlineStr">
        <is>
          <t>是</t>
        </is>
      </c>
      <c r="E15" s="17" t="inlineStr">
        <is>
          <t>dev + holdout</t>
        </is>
      </c>
      <c r="F15" s="17" t="inlineStr">
        <is>
          <t>是</t>
        </is>
      </c>
      <c r="G15" s="17" t="inlineStr">
        <is>
          <t>高費池：盤中停損＋量確認補倉＋四條均線各擺一段區間；低費池：創新低不補倉</t>
        </is>
      </c>
      <c r="H15" s="17" t="inlineStr">
        <is>
          <t>fee tier: intraday stop + volume refill + tranches on 0.3% and v6.75 on 0.05% (v6.108)</t>
        </is>
      </c>
      <c r="I15" s="18" t="n">
        <v>0.47</v>
      </c>
      <c r="J15" s="17" t="inlineStr">
        <is>
          <t>4/5</t>
        </is>
      </c>
      <c r="K15" s="17" t="inlineStr">
        <is>
          <t>2/2 windows (time-split)</t>
        </is>
      </c>
      <c r="L15" s="19" t="n">
        <v>0.154</v>
      </c>
      <c r="M15" s="19" t="n">
        <v>-0.243</v>
      </c>
      <c r="N15" s="17" t="inlineStr">
        <is>
          <t>QUAN-1006</t>
        </is>
      </c>
      <c r="O15" s="17" t="inlineStr">
        <is>
          <t>EXP-121-tier-stopvoltranche-nolow.md</t>
        </is>
      </c>
    </row>
    <row r="16">
      <c r="A16" s="17" t="inlineStr">
        <is>
          <t>EXP-124</t>
        </is>
      </c>
      <c r="B16" s="17" t="inlineStr">
        <is>
          <t>v6.111</t>
        </is>
      </c>
      <c r="C16" s="17" t="inlineStr">
        <is>
          <t>通過（holdout）</t>
        </is>
      </c>
      <c r="D16" s="17" t="inlineStr">
        <is>
          <t>是</t>
        </is>
      </c>
      <c r="E16" s="17" t="inlineStr">
        <is>
          <t>dev + holdout</t>
        </is>
      </c>
      <c r="F16" s="17" t="inlineStr">
        <is>
          <t>是</t>
        </is>
      </c>
      <c r="G16" s="17" t="inlineStr">
        <is>
          <t>高費池：盤中停損＋量確認補倉＋換幣走較便宜池子；低費池：創新低那天不補倉</t>
        </is>
      </c>
      <c r="H16" s="17" t="inlineStr">
        <is>
          <t>fee tier: stop + volume + routing on 0.3% and v6.75 on 0.05% (v6.111)</t>
        </is>
      </c>
      <c r="I16" s="18" t="n">
        <v>0.47</v>
      </c>
      <c r="J16" s="17" t="inlineStr">
        <is>
          <t>4/5</t>
        </is>
      </c>
      <c r="K16" s="17" t="inlineStr">
        <is>
          <t>2/2 windows (time-split)</t>
        </is>
      </c>
      <c r="L16" s="19" t="n">
        <v>0.154</v>
      </c>
      <c r="M16" s="19" t="n">
        <v>-0.243</v>
      </c>
      <c r="N16" s="17" t="inlineStr">
        <is>
          <t>QUAN-1009</t>
        </is>
      </c>
      <c r="O16" s="17" t="inlineStr">
        <is>
          <t>EXP-124-tier-svroute-nolow.md</t>
        </is>
      </c>
    </row>
    <row r="17">
      <c r="A17" s="17" t="inlineStr">
        <is>
          <t>EXP-125</t>
        </is>
      </c>
      <c r="B17" s="17" t="inlineStr">
        <is>
          <t>v6.112</t>
        </is>
      </c>
      <c r="C17" s="17" t="inlineStr">
        <is>
          <t>通過（holdout）</t>
        </is>
      </c>
      <c r="D17" s="17" t="inlineStr">
        <is>
          <t>是</t>
        </is>
      </c>
      <c r="E17" s="17" t="inlineStr">
        <is>
          <t>dev + holdout</t>
        </is>
      </c>
      <c r="F17" s="17" t="inlineStr">
        <is>
          <t>是</t>
        </is>
      </c>
      <c r="G17" s="17" t="inlineStr">
        <is>
          <t>高費池：拿掉下方停損＋換幣改走較便宜的池子；低費池：創新低那天不補倉</t>
        </is>
      </c>
      <c r="H17" s="17" t="inlineStr">
        <is>
          <t>fee tier: no lower stop + routing on 0.3% and v6.75 on 0.05% (v6.112)</t>
        </is>
      </c>
      <c r="I17" s="18" t="n">
        <v>0.47</v>
      </c>
      <c r="J17" s="17" t="inlineStr">
        <is>
          <t>4/5</t>
        </is>
      </c>
      <c r="K17" s="17" t="inlineStr">
        <is>
          <t>2/2 windows (time-split)</t>
        </is>
      </c>
      <c r="L17" s="19" t="n">
        <v>0.154</v>
      </c>
      <c r="M17" s="19" t="n">
        <v>-0.243</v>
      </c>
      <c r="N17" s="17" t="inlineStr">
        <is>
          <t>QUAN-1010</t>
        </is>
      </c>
      <c r="O17" s="17" t="inlineStr">
        <is>
          <t>EXP-125-tier-nostoproute-nolow.md</t>
        </is>
      </c>
    </row>
    <row r="18">
      <c r="A18" s="7" t="inlineStr">
        <is>
          <t>EXP-127</t>
        </is>
      </c>
      <c r="B18" s="7" t="inlineStr">
        <is>
          <t>v6.114</t>
        </is>
      </c>
      <c r="C18" s="7" t="inlineStr">
        <is>
          <t>開發期淘汰</t>
        </is>
      </c>
      <c r="D18" s="7" t="inlineStr">
        <is>
          <t>否</t>
        </is>
      </c>
      <c r="E18" s="7" t="inlineStr">
        <is>
          <t>dev + holdout</t>
        </is>
      </c>
      <c r="F18" s="7" t="inlineStr">
        <is>
          <t>是</t>
        </is>
      </c>
      <c r="G18" s="7" t="inlineStr">
        <is>
          <t>高費池：盤中停損＋量確認補倉＋換幣走便宜池；低費池：創新低不補倉＋收紅才補</t>
        </is>
      </c>
      <c r="H18" s="7" t="inlineStr">
        <is>
          <t>fee tier: stop + volume + routing on 0.3% and v6.75 + up-day refill on 0.05% (v6.114)</t>
        </is>
      </c>
      <c r="I18" s="16" t="n">
        <v>-2.76</v>
      </c>
      <c r="J18" s="7" t="inlineStr">
        <is>
          <t>1/5</t>
        </is>
      </c>
      <c r="K18" s="7" t="inlineStr"/>
      <c r="L18" s="10" t="n">
        <v>0.153</v>
      </c>
      <c r="M18" s="10" t="n">
        <v>-0.232</v>
      </c>
      <c r="N18" s="7" t="inlineStr">
        <is>
          <t>QUAN-1012</t>
        </is>
      </c>
      <c r="O18" s="7" t="inlineStr">
        <is>
          <t>EXP-127-tier-svroute-nolowupday.md</t>
        </is>
      </c>
    </row>
    <row r="19">
      <c r="A19" s="7" t="inlineStr">
        <is>
          <t>EXP-129</t>
        </is>
      </c>
      <c r="B19" s="7" t="inlineStr">
        <is>
          <t>v6.115</t>
        </is>
      </c>
      <c r="C19" s="7" t="inlineStr">
        <is>
          <t>開發期淘汰</t>
        </is>
      </c>
      <c r="D19" s="7" t="inlineStr">
        <is>
          <t>否</t>
        </is>
      </c>
      <c r="E19" s="7" t="inlineStr">
        <is>
          <t>dev + holdout</t>
        </is>
      </c>
      <c r="F19" s="7" t="inlineStr">
        <is>
          <t>是</t>
        </is>
      </c>
      <c r="G19" s="7" t="inlineStr">
        <is>
          <t>高費池：盤中停損＋量確認補倉＋換幣走便宜池；低費池：創新低不補倉＋部署比例不超過兩幣平均</t>
        </is>
      </c>
      <c r="H19" s="7" t="inlineStr">
        <is>
          <t>fee tier: stop + volume + routing on 0.3% and v6.75 + breadth cap on 0.05% (v6.115)</t>
        </is>
      </c>
      <c r="I19" s="16" t="n">
        <v>-2.28</v>
      </c>
      <c r="J19" s="7" t="inlineStr">
        <is>
          <t>2/5</t>
        </is>
      </c>
      <c r="K19" s="7" t="inlineStr"/>
      <c r="L19" s="10" t="n">
        <v>0.151</v>
      </c>
      <c r="M19" s="10" t="n">
        <v>-0.222</v>
      </c>
      <c r="N19" s="7" t="inlineStr">
        <is>
          <t>QUAN-1014</t>
        </is>
      </c>
      <c r="O19" s="7" t="inlineStr">
        <is>
          <t>EXP-129-tier-svr-nolowbreadth.md</t>
        </is>
      </c>
    </row>
    <row r="20">
      <c r="A20" s="17" t="inlineStr">
        <is>
          <t>EXP-130</t>
        </is>
      </c>
      <c r="B20" s="17" t="inlineStr">
        <is>
          <t>v6.116</t>
        </is>
      </c>
      <c r="C20" s="17" t="inlineStr">
        <is>
          <t>通過（holdout）</t>
        </is>
      </c>
      <c r="D20" s="17" t="inlineStr">
        <is>
          <t>是</t>
        </is>
      </c>
      <c r="E20" s="17" t="inlineStr">
        <is>
          <t>dev + holdout</t>
        </is>
      </c>
      <c r="F20" s="17" t="inlineStr">
        <is>
          <t>是</t>
        </is>
      </c>
      <c r="G20" s="17" t="inlineStr">
        <is>
          <t>高費池：盤中停損＋量確認補倉＋換幣走便宜池；低費池：創新低不補倉＋另一個幣也反彈才補</t>
        </is>
      </c>
      <c r="H20" s="17" t="inlineStr">
        <is>
          <t>fee tier: stop + volume + routing on 0.3% and v6.75 + cross-asset refill on 0.05% (v6.116)</t>
        </is>
      </c>
      <c r="I20" s="18" t="n">
        <v>1.04</v>
      </c>
      <c r="J20" s="17" t="inlineStr">
        <is>
          <t>4/5</t>
        </is>
      </c>
      <c r="K20" s="17" t="inlineStr">
        <is>
          <t>2/2 windows (time-split)</t>
        </is>
      </c>
      <c r="L20" s="19" t="n">
        <v>0.169</v>
      </c>
      <c r="M20" s="19" t="n">
        <v>-0.247</v>
      </c>
      <c r="N20" s="17" t="inlineStr">
        <is>
          <t>QUAN-1015</t>
        </is>
      </c>
      <c r="O20" s="17" t="inlineStr">
        <is>
          <t>EXP-130-tier-svr-nolowxasset.md</t>
        </is>
      </c>
    </row>
    <row r="21">
      <c r="A21" s="7" t="inlineStr">
        <is>
          <t>EXP-131</t>
        </is>
      </c>
      <c r="B21" s="7" t="inlineStr">
        <is>
          <t>v6.117</t>
        </is>
      </c>
      <c r="C21" s="7" t="inlineStr">
        <is>
          <t>holdout 失敗</t>
        </is>
      </c>
      <c r="D21" s="7" t="inlineStr">
        <is>
          <t>否</t>
        </is>
      </c>
      <c r="E21" s="7" t="inlineStr">
        <is>
          <t>dev + holdout</t>
        </is>
      </c>
      <c r="F21" s="7" t="inlineStr">
        <is>
          <t>是</t>
        </is>
      </c>
      <c r="G21" s="7" t="inlineStr">
        <is>
          <t>高費池：盤中停損＋量確認補倉＋換幣走便宜池；低費池：創新低不補倉＋資金費率過熱時部署上限50%</t>
        </is>
      </c>
      <c r="H21" s="7" t="inlineStr">
        <is>
          <t>fee tier: stop + volume + routing on 0.3% and v6.75 + funding cap on 0.05% (v6.117)</t>
        </is>
      </c>
      <c r="I21" s="16" t="n">
        <v>0.47</v>
      </c>
      <c r="J21" s="7" t="inlineStr">
        <is>
          <t>4/5</t>
        </is>
      </c>
      <c r="K21" s="7" t="inlineStr">
        <is>
          <t>1/2 windows (time-split)</t>
        </is>
      </c>
      <c r="L21" s="10" t="n">
        <v>0.164</v>
      </c>
      <c r="M21" s="10" t="n">
        <v>-0.209</v>
      </c>
      <c r="N21" s="7" t="inlineStr">
        <is>
          <t>QUAN-1016</t>
        </is>
      </c>
      <c r="O21" s="7" t="inlineStr">
        <is>
          <t>EXP-131-tier-svr-nolowfundcap.md</t>
        </is>
      </c>
    </row>
    <row r="22">
      <c r="A22" s="7" t="inlineStr">
        <is>
          <t>EXP-132</t>
        </is>
      </c>
      <c r="B22" s="7" t="inlineStr">
        <is>
          <t>v6.118</t>
        </is>
      </c>
      <c r="C22" s="7" t="inlineStr">
        <is>
          <t>開發期淘汰</t>
        </is>
      </c>
      <c r="D22" s="7" t="inlineStr">
        <is>
          <t>否</t>
        </is>
      </c>
      <c r="E22" s="7" t="inlineStr">
        <is>
          <t>dev + holdout</t>
        </is>
      </c>
      <c r="F22" s="7" t="inlineStr">
        <is>
          <t>是</t>
        </is>
      </c>
      <c r="G22" s="7" t="inlineStr">
        <is>
          <t>高費池：盤中停損＋量確認補倉＋換幣走便宜池；低費池：創新低不補倉＋收在當日上半段才補</t>
        </is>
      </c>
      <c r="H22" s="7" t="inlineStr">
        <is>
          <t>fee tier: stop + volume + routing on 0.3% and v6.75 + strong-close refill on 0.05% (v6.118)</t>
        </is>
      </c>
      <c r="I22" s="16" t="n">
        <v>-3.76</v>
      </c>
      <c r="J22" s="7" t="inlineStr">
        <is>
          <t>2/5</t>
        </is>
      </c>
      <c r="K22" s="7" t="inlineStr"/>
      <c r="L22" s="10" t="n">
        <v>0.144</v>
      </c>
      <c r="M22" s="10" t="n">
        <v>-0.22</v>
      </c>
      <c r="N22" s="7" t="inlineStr">
        <is>
          <t>QUAN-1017</t>
        </is>
      </c>
      <c r="O22" s="7" t="inlineStr">
        <is>
          <t>EXP-132-tier-svr-nolowstrong.md</t>
        </is>
      </c>
    </row>
    <row r="23">
      <c r="A23" s="17" t="inlineStr">
        <is>
          <t>EXP-134</t>
        </is>
      </c>
      <c r="B23" s="17" t="inlineStr">
        <is>
          <t>v6.120</t>
        </is>
      </c>
      <c r="C23" s="17" t="inlineStr">
        <is>
          <t>通過（holdout）</t>
        </is>
      </c>
      <c r="D23" s="17" t="inlineStr">
        <is>
          <t>是</t>
        </is>
      </c>
      <c r="E23" s="17" t="inlineStr">
        <is>
          <t>dev + holdout</t>
        </is>
      </c>
      <c r="F23" s="17" t="inlineStr">
        <is>
          <t>是</t>
        </is>
      </c>
      <c r="G23" s="17" t="inlineStr">
        <is>
          <t>高費池：盤中停損＋量確認補倉＋換幣走便宜池；低費池：創新低不補倉＋部署比例一升就重擺</t>
        </is>
      </c>
      <c r="H23" s="17" t="inlineStr">
        <is>
          <t>fee tier: stop + volume + routing on 0.3% and v6.75 + rebuild on every F rise on 0.05% (v6.120)</t>
        </is>
      </c>
      <c r="I23" s="18" t="n">
        <v>1.6</v>
      </c>
      <c r="J23" s="17" t="inlineStr">
        <is>
          <t>4/5</t>
        </is>
      </c>
      <c r="K23" s="17" t="inlineStr">
        <is>
          <t>2/2 windows (time-split)</t>
        </is>
      </c>
      <c r="L23" s="19" t="n">
        <v>0.164</v>
      </c>
      <c r="M23" s="19" t="n">
        <v>-0.245</v>
      </c>
      <c r="N23" s="17" t="inlineStr">
        <is>
          <t>QUAN-1019</t>
        </is>
      </c>
      <c r="O23" s="17" t="inlineStr">
        <is>
          <t>EXP-134-tier-svr-nolowrise.md</t>
        </is>
      </c>
    </row>
    <row r="24">
      <c r="A24" s="7" t="inlineStr">
        <is>
          <t>EXP-136</t>
        </is>
      </c>
      <c r="B24" s="7" t="inlineStr">
        <is>
          <t>v6.122</t>
        </is>
      </c>
      <c r="C24" s="7" t="inlineStr">
        <is>
          <t>開發期淘汰</t>
        </is>
      </c>
      <c r="D24" s="7" t="inlineStr">
        <is>
          <t>否</t>
        </is>
      </c>
      <c r="E24" s="7" t="inlineStr">
        <is>
          <t>dev + holdout</t>
        </is>
      </c>
      <c r="F24" s="7" t="inlineStr">
        <is>
          <t>是</t>
        </is>
      </c>
      <c r="G24" s="7" t="inlineStr">
        <is>
          <t>高費池：盤中停損＋量確認補倉＋換幣走便宜池；低費池：創新低不補倉＋ETH占比切換就重擺</t>
        </is>
      </c>
      <c r="H24" s="7" t="inlineStr">
        <is>
          <t>fee tier: stop + volume + routing on 0.3% and v6.75 + share-flip rebuild on 0.05% (v6.122)</t>
        </is>
      </c>
      <c r="I24" s="16" t="n">
        <v>-0.55</v>
      </c>
      <c r="J24" s="7" t="inlineStr">
        <is>
          <t>2/5</t>
        </is>
      </c>
      <c r="K24" s="7" t="inlineStr"/>
      <c r="L24" s="10" t="n">
        <v>0.153</v>
      </c>
      <c r="M24" s="10" t="n">
        <v>-0.245</v>
      </c>
      <c r="N24" s="7" t="inlineStr">
        <is>
          <t>QUAN-1023</t>
        </is>
      </c>
      <c r="O24" s="7" t="inlineStr">
        <is>
          <t>EXP-136-tier-svr-nolowflip.md</t>
        </is>
      </c>
    </row>
    <row r="25">
      <c r="A25" s="17" t="inlineStr">
        <is>
          <t>EXP-138</t>
        </is>
      </c>
      <c r="B25" s="17" t="inlineStr">
        <is>
          <t>v6.124</t>
        </is>
      </c>
      <c r="C25" s="17" t="inlineStr">
        <is>
          <t>通過（holdout）</t>
        </is>
      </c>
      <c r="D25" s="17" t="inlineStr">
        <is>
          <t>是</t>
        </is>
      </c>
      <c r="E25" s="17" t="inlineStr">
        <is>
          <t>dev + holdout</t>
        </is>
      </c>
      <c r="F25" s="17" t="inlineStr">
        <is>
          <t>是</t>
        </is>
      </c>
      <c r="G25" s="17" t="inlineStr">
        <is>
          <t>高費池：盤中停損＋量確認補倉＋換幣走便宜池；低費池：創新低不補倉＋部署升或占比切換就重擺</t>
        </is>
      </c>
      <c r="H25" s="17" t="inlineStr">
        <is>
          <t>fee tier: stop + volume + routing on 0.3% and v6.75 + rise and share-flip rebuilds on 0.05% (v6.124)</t>
        </is>
      </c>
      <c r="I25" s="18" t="n">
        <v>0.6</v>
      </c>
      <c r="J25" s="17" t="inlineStr">
        <is>
          <t>3/5</t>
        </is>
      </c>
      <c r="K25" s="17" t="inlineStr">
        <is>
          <t>2/2 windows (time-split)</t>
        </is>
      </c>
      <c r="L25" s="19" t="n">
        <v>0.158</v>
      </c>
      <c r="M25" s="19" t="n">
        <v>-0.247</v>
      </c>
      <c r="N25" s="17" t="inlineStr">
        <is>
          <t>QUAN-1022</t>
        </is>
      </c>
      <c r="O25" s="17" t="inlineStr">
        <is>
          <t>EXP-138-tier-svr-nolowriseflip.md</t>
        </is>
      </c>
    </row>
    <row r="26">
      <c r="A26" s="17" t="inlineStr">
        <is>
          <t>EXP-139</t>
        </is>
      </c>
      <c r="B26" s="17" t="inlineStr">
        <is>
          <t>v6.125</t>
        </is>
      </c>
      <c r="C26" s="17" t="inlineStr">
        <is>
          <t>通過（holdout）</t>
        </is>
      </c>
      <c r="D26" s="17" t="inlineStr">
        <is>
          <t>是</t>
        </is>
      </c>
      <c r="E26" s="17" t="inlineStr">
        <is>
          <t>dev + holdout</t>
        </is>
      </c>
      <c r="F26" s="17" t="inlineStr">
        <is>
          <t>是</t>
        </is>
      </c>
      <c r="G26" s="17" t="inlineStr">
        <is>
          <t>高費池：盤中停損＋量確認補倉＋換幣走便宜池；低費池：不創新低且另一個幣反彈才補＋部署升就重擺</t>
        </is>
      </c>
      <c r="H26" s="17" t="inlineStr">
        <is>
          <t>fee tier: stop + volume + routing on 0.3% and v6.75 + cross-asset refill + rise rebuild on 0.05% (v6.125)</t>
        </is>
      </c>
      <c r="I26" s="18" t="n">
        <v>1.94</v>
      </c>
      <c r="J26" s="17" t="inlineStr">
        <is>
          <t>4/5</t>
        </is>
      </c>
      <c r="K26" s="17" t="inlineStr">
        <is>
          <t>2/2 windows (time-split)</t>
        </is>
      </c>
      <c r="L26" s="19" t="n">
        <v>0.178</v>
      </c>
      <c r="M26" s="19" t="n">
        <v>-0.245</v>
      </c>
      <c r="N26" s="17" t="inlineStr">
        <is>
          <t>QUAN-1024</t>
        </is>
      </c>
      <c r="O26" s="17" t="inlineStr">
        <is>
          <t>EXP-139-tier-svr-nlxrise.md</t>
        </is>
      </c>
    </row>
    <row r="27">
      <c r="A27" s="17" t="inlineStr">
        <is>
          <t>EXP-140</t>
        </is>
      </c>
      <c r="B27" s="17" t="inlineStr">
        <is>
          <t>v6.126</t>
        </is>
      </c>
      <c r="C27" s="17" t="inlineStr">
        <is>
          <t>通過（holdout）</t>
        </is>
      </c>
      <c r="D27" s="17" t="inlineStr">
        <is>
          <t>是</t>
        </is>
      </c>
      <c r="E27" s="17" t="inlineStr">
        <is>
          <t>dev + holdout</t>
        </is>
      </c>
      <c r="F27" s="17" t="inlineStr">
        <is>
          <t>是</t>
        </is>
      </c>
      <c r="G27" s="17" t="inlineStr">
        <is>
          <t>高費池：盤中停損＋量確認＋走便宜池；低費池：不創新低且另一個幣反彈才補＋FOMC／CPI撤區間</t>
        </is>
      </c>
      <c r="H27" s="17" t="inlineStr">
        <is>
          <t>fee tier: stop + volume + routing on 0.3% and v6.75 + cross-asset refill + macro restore on 0.05% (v6.126)</t>
        </is>
      </c>
      <c r="I27" s="18" t="n">
        <v>1.15</v>
      </c>
      <c r="J27" s="17" t="inlineStr">
        <is>
          <t>4/5</t>
        </is>
      </c>
      <c r="K27" s="17" t="inlineStr">
        <is>
          <t>2/2 windows (time-split)</t>
        </is>
      </c>
      <c r="L27" s="19" t="n">
        <v>0.171</v>
      </c>
      <c r="M27" s="19" t="n">
        <v>-0.249</v>
      </c>
      <c r="N27" s="17" t="inlineStr">
        <is>
          <t>QUAN-1025</t>
        </is>
      </c>
      <c r="O27" s="17" t="inlineStr">
        <is>
          <t>EXP-140-tier-svr-nlxmacro.md</t>
        </is>
      </c>
    </row>
    <row r="28">
      <c r="A28" s="17" t="inlineStr">
        <is>
          <t>EXP-141</t>
        </is>
      </c>
      <c r="B28" s="17" t="inlineStr">
        <is>
          <t>v6.127</t>
        </is>
      </c>
      <c r="C28" s="17" t="inlineStr">
        <is>
          <t>通過（holdout）</t>
        </is>
      </c>
      <c r="D28" s="17" t="inlineStr">
        <is>
          <t>是</t>
        </is>
      </c>
      <c r="E28" s="17" t="inlineStr">
        <is>
          <t>dev + holdout</t>
        </is>
      </c>
      <c r="F28" s="17" t="inlineStr">
        <is>
          <t>是</t>
        </is>
      </c>
      <c r="G28" s="17" t="inlineStr">
        <is>
          <t>高費池：盤中停損＋量確認＋走便宜池＋部署升就重擺；低費池：不創新低且另一個幣反彈才補倉</t>
        </is>
      </c>
      <c r="H28" s="17" t="inlineStr">
        <is>
          <t>fee tier: stop + volume + routing + rise rebuild on 0.3% and v6.75 + cross-asset refill on 0.05% (v6.127)</t>
        </is>
      </c>
      <c r="I28" s="18" t="n">
        <v>1.04</v>
      </c>
      <c r="J28" s="17" t="inlineStr">
        <is>
          <t>4/5</t>
        </is>
      </c>
      <c r="K28" s="17" t="inlineStr">
        <is>
          <t>2/2 windows (time-split)</t>
        </is>
      </c>
      <c r="L28" s="19" t="n">
        <v>0.169</v>
      </c>
      <c r="M28" s="19" t="n">
        <v>-0.247</v>
      </c>
      <c r="N28" s="17" t="inlineStr">
        <is>
          <t>QUAN-1026</t>
        </is>
      </c>
      <c r="O28" s="17" t="inlineStr">
        <is>
          <t>EXP-141-tier-svrrise-nlx.md</t>
        </is>
      </c>
    </row>
    <row r="29">
      <c r="A29" s="7" t="inlineStr">
        <is>
          <t>EXP-143</t>
        </is>
      </c>
      <c r="B29" s="7" t="inlineStr">
        <is>
          <t>v6.129</t>
        </is>
      </c>
      <c r="C29" s="7" t="inlineStr">
        <is>
          <t>開發期淘汰</t>
        </is>
      </c>
      <c r="D29" s="7" t="inlineStr">
        <is>
          <t>否</t>
        </is>
      </c>
      <c r="E29" s="7" t="inlineStr">
        <is>
          <t>dev + holdout</t>
        </is>
      </c>
      <c r="F29" s="7" t="inlineStr">
        <is>
          <t>是</t>
        </is>
      </c>
      <c r="G29" s="7" t="inlineStr">
        <is>
          <t>高費池：盤中停損＋量確認＋走便宜池；低費池：不創新低且另一個幣反彈才補＋跑出區間連兩天才重擺</t>
        </is>
      </c>
      <c r="H29" s="7" t="inlineStr">
        <is>
          <t>fee tier: stop + volume + routing on 0.3% and v6.75 + cross-asset refill + two-day exit confirmation on 0.05% (v6.129)</t>
        </is>
      </c>
      <c r="I29" s="16" t="n">
        <v>-3.32</v>
      </c>
      <c r="J29" s="7" t="inlineStr">
        <is>
          <t>2/5</t>
        </is>
      </c>
      <c r="K29" s="7" t="inlineStr"/>
      <c r="L29" s="10" t="n">
        <v>0.184</v>
      </c>
      <c r="M29" s="10" t="n">
        <v>-0.217</v>
      </c>
      <c r="N29" s="7" t="inlineStr">
        <is>
          <t>QUAN-1028</t>
        </is>
      </c>
      <c r="O29" s="7" t="inlineStr">
        <is>
          <t>EXP-143-tier-svr-nlxconfirm.md</t>
        </is>
      </c>
    </row>
    <row r="30">
      <c r="A30" s="7" t="inlineStr">
        <is>
          <t>EXP-146</t>
        </is>
      </c>
      <c r="B30" s="7" t="inlineStr">
        <is>
          <t>v6.132</t>
        </is>
      </c>
      <c r="C30" s="7" t="inlineStr">
        <is>
          <t>holdout 失敗</t>
        </is>
      </c>
      <c r="D30" s="7" t="inlineStr">
        <is>
          <t>否</t>
        </is>
      </c>
      <c r="E30" s="7" t="inlineStr">
        <is>
          <t>dev + holdout</t>
        </is>
      </c>
      <c r="F30" s="7" t="inlineStr">
        <is>
          <t>是</t>
        </is>
      </c>
      <c r="G30" s="7" t="inlineStr">
        <is>
          <t>兩種池都要另一個幣也反彈才補倉；高費池另加盤中停損＋量確認＋走便宜池，低費池另加創新低不補</t>
        </is>
      </c>
      <c r="H30" s="7" t="inlineStr">
        <is>
          <t>fee tier: stop + volume + routing + cross-asset refill on 0.3% and v6.75 + cross-asset refill on 0.05% (v6.132)</t>
        </is>
      </c>
      <c r="I30" s="16" t="n">
        <v>1.04</v>
      </c>
      <c r="J30" s="7" t="inlineStr">
        <is>
          <t>4/5</t>
        </is>
      </c>
      <c r="K30" s="7" t="inlineStr">
        <is>
          <t>1/2 windows (time-split)</t>
        </is>
      </c>
      <c r="L30" s="10" t="n">
        <v>0.169</v>
      </c>
      <c r="M30" s="10" t="n">
        <v>-0.247</v>
      </c>
      <c r="N30" s="7" t="inlineStr">
        <is>
          <t>QUAN-1031</t>
        </is>
      </c>
      <c r="O30" s="7" t="inlineStr">
        <is>
          <t>EXP-146-tier-svrx-nlx.md</t>
        </is>
      </c>
    </row>
    <row r="31">
      <c r="A31" s="17" t="inlineStr">
        <is>
          <t>EXP-147</t>
        </is>
      </c>
      <c r="B31" s="17" t="inlineStr">
        <is>
          <t>v6.133</t>
        </is>
      </c>
      <c r="C31" s="17" t="inlineStr">
        <is>
          <t>通過（holdout）</t>
        </is>
      </c>
      <c r="D31" s="17" t="inlineStr">
        <is>
          <t>是</t>
        </is>
      </c>
      <c r="E31" s="17" t="inlineStr">
        <is>
          <t>dev + holdout</t>
        </is>
      </c>
      <c r="F31" s="17" t="inlineStr">
        <is>
          <t>是</t>
        </is>
      </c>
      <c r="G31" s="17" t="inlineStr">
        <is>
          <t>高費池：盤中停損＋量確認＋走便宜池；低費池：不新低且另一個幣反彈才補＋部署升重擺＋避FOMC／CPI</t>
        </is>
      </c>
      <c r="H31" s="17" t="inlineStr">
        <is>
          <t>fee tier: stop + volume + routing on 0.3% and v6.75 + cross-asset refill + rise rebuild + macro restore on 0.05% (v6.133)</t>
        </is>
      </c>
      <c r="I31" s="18" t="n">
        <v>3.17</v>
      </c>
      <c r="J31" s="17" t="inlineStr">
        <is>
          <t>4/5</t>
        </is>
      </c>
      <c r="K31" s="17" t="inlineStr">
        <is>
          <t>2/2 windows (time-split)</t>
        </is>
      </c>
      <c r="L31" s="19" t="n">
        <v>0.18</v>
      </c>
      <c r="M31" s="19" t="n">
        <v>-0.246</v>
      </c>
      <c r="N31" s="17" t="inlineStr">
        <is>
          <t>QUAN-1032</t>
        </is>
      </c>
      <c r="O31" s="17" t="inlineStr">
        <is>
          <t>EXP-147-tier-svr-nlxrisemacro.md</t>
        </is>
      </c>
    </row>
    <row r="32">
      <c r="A32" s="17" t="inlineStr">
        <is>
          <t>EXP-149</t>
        </is>
      </c>
      <c r="B32" s="17" t="inlineStr">
        <is>
          <t>v6.135</t>
        </is>
      </c>
      <c r="C32" s="17" t="inlineStr">
        <is>
          <t>通過（holdout）</t>
        </is>
      </c>
      <c r="D32" s="17" t="inlineStr">
        <is>
          <t>是</t>
        </is>
      </c>
      <c r="E32" s="17" t="inlineStr">
        <is>
          <t>dev + holdout</t>
        </is>
      </c>
      <c r="F32" s="17" t="inlineStr">
        <is>
          <t>是</t>
        </is>
      </c>
      <c r="G32" s="17" t="inlineStr">
        <is>
          <t>兩種池都避開FOMC／CPI；高費池加盤中停損＋量確認＋走便宜池，低費池加不創新低且另一個幣反彈才補</t>
        </is>
      </c>
      <c r="H32" s="17" t="inlineStr">
        <is>
          <t>fee tier: stop + volume + routing + macro restore on 0.3% and v6.75 + cross-asset refill + macro restore on 0.05% (v6.135)</t>
        </is>
      </c>
      <c r="I32" s="18" t="n">
        <v>1.15</v>
      </c>
      <c r="J32" s="17" t="inlineStr">
        <is>
          <t>4/5</t>
        </is>
      </c>
      <c r="K32" s="17" t="inlineStr">
        <is>
          <t>2/2 windows (time-split)</t>
        </is>
      </c>
      <c r="L32" s="19" t="n">
        <v>0.171</v>
      </c>
      <c r="M32" s="19" t="n">
        <v>-0.249</v>
      </c>
      <c r="N32" s="17" t="inlineStr">
        <is>
          <t>QUAN-1034</t>
        </is>
      </c>
      <c r="O32" s="17" t="inlineStr">
        <is>
          <t>EXP-149-tier-svrmacro-nlxmacro.md</t>
        </is>
      </c>
    </row>
    <row r="33">
      <c r="A33" s="17" t="inlineStr">
        <is>
          <t>EXP-150</t>
        </is>
      </c>
      <c r="B33" s="17" t="inlineStr">
        <is>
          <t>v6.136</t>
        </is>
      </c>
      <c r="C33" s="17" t="inlineStr">
        <is>
          <t>通過（holdout）</t>
        </is>
      </c>
      <c r="D33" s="17" t="inlineStr">
        <is>
          <t>是</t>
        </is>
      </c>
      <c r="E33" s="17" t="inlineStr">
        <is>
          <t>dev + holdout</t>
        </is>
      </c>
      <c r="F33" s="17" t="inlineStr">
        <is>
          <t>是</t>
        </is>
      </c>
      <c r="G33" s="17" t="inlineStr">
        <is>
          <t>兩種池都創新低不補；高費池加盤中停損＋量確認＋走便宜池，低費池加另一個幣反彈才補＋避FOMC／CPI</t>
        </is>
      </c>
      <c r="H33" s="17" t="inlineStr">
        <is>
          <t>fee tier: stop + volume + routing + no-new-low refill on 0.3% and v6.75 + cross-asset refill + macro restore on 0.05% (v6.136)</t>
        </is>
      </c>
      <c r="I33" s="18" t="n">
        <v>1.15</v>
      </c>
      <c r="J33" s="17" t="inlineStr">
        <is>
          <t>4/5</t>
        </is>
      </c>
      <c r="K33" s="17" t="inlineStr">
        <is>
          <t>2/2 windows (time-split)</t>
        </is>
      </c>
      <c r="L33" s="19" t="n">
        <v>0.171</v>
      </c>
      <c r="M33" s="19" t="n">
        <v>-0.249</v>
      </c>
      <c r="N33" s="17" t="inlineStr">
        <is>
          <t>QUAN-1035</t>
        </is>
      </c>
      <c r="O33" s="17" t="inlineStr">
        <is>
          <t>EXP-150-tier-svrnolow-nlxmacro.md</t>
        </is>
      </c>
    </row>
    <row r="34">
      <c r="A34" s="17" t="inlineStr">
        <is>
          <t>EXP-151</t>
        </is>
      </c>
      <c r="B34" s="17" t="inlineStr">
        <is>
          <t>v6.137</t>
        </is>
      </c>
      <c r="C34" s="17" t="inlineStr">
        <is>
          <t>通過（holdout）</t>
        </is>
      </c>
      <c r="D34" s="17" t="inlineStr">
        <is>
          <t>是</t>
        </is>
      </c>
      <c r="E34" s="17" t="inlineStr">
        <is>
          <t>dev + holdout</t>
        </is>
      </c>
      <c r="F34" s="17" t="inlineStr">
        <is>
          <t>是</t>
        </is>
      </c>
      <c r="G34" s="17" t="inlineStr">
        <is>
          <t>高費池：盤中停損＋量確認＋走便宜池；低費池：不新低且另一個幣反彈才補＋避FOMC／CPI＋均線分段擺</t>
        </is>
      </c>
      <c r="H34" s="17" t="inlineStr">
        <is>
          <t>fee tier: stop + volume + routing on 0.3% and v6.75 + cross-asset refill + macro restore + account tranches on 0.05% (v6.137)</t>
        </is>
      </c>
      <c r="I34" s="18" t="n">
        <v>3.12</v>
      </c>
      <c r="J34" s="17" t="inlineStr">
        <is>
          <t>3/5</t>
        </is>
      </c>
      <c r="K34" s="17" t="inlineStr">
        <is>
          <t>2/2 windows (time-split)</t>
        </is>
      </c>
      <c r="L34" s="19" t="n">
        <v>0.178</v>
      </c>
      <c r="M34" s="19" t="n">
        <v>-0.252</v>
      </c>
      <c r="N34" s="17" t="inlineStr">
        <is>
          <t>QUAN-1036</t>
        </is>
      </c>
      <c r="O34" s="17" t="inlineStr">
        <is>
          <t>EXP-151-tier-svr-nlxmacrotranche.md</t>
        </is>
      </c>
    </row>
    <row r="35">
      <c r="A35" s="17" t="inlineStr">
        <is>
          <t>EXP-163</t>
        </is>
      </c>
      <c r="B35" s="17" t="inlineStr">
        <is>
          <t>v6.148</t>
        </is>
      </c>
      <c r="C35" s="17" t="inlineStr">
        <is>
          <t>通過（全歷史）</t>
        </is>
      </c>
      <c r="D35" s="17" t="inlineStr">
        <is>
          <t>是</t>
        </is>
      </c>
      <c r="E35" s="17" t="inlineStr">
        <is>
          <t>全歷史</t>
        </is>
      </c>
      <c r="F35" s="17" t="inlineStr">
        <is>
          <t>是</t>
        </is>
      </c>
      <c r="G35" s="17" t="inlineStr">
        <is>
          <t>高費池：創新低那天不補倉；低費池：不創新低且另一個幣也反彈才補倉＋FOMC／CPI前後撤區間</t>
        </is>
      </c>
      <c r="H35" s="17" t="inlineStr">
        <is>
          <t>fee tier: v6.75 on 0.3% pools; v6.75 + cross-asset refill + macro restore on cheaper pools on spec v1 (v6.148)</t>
        </is>
      </c>
      <c r="I35" s="17" t="n"/>
      <c r="J35" s="17" t="inlineStr"/>
      <c r="K35" s="17" t="inlineStr">
        <is>
          <t>full-history 5/7 pools (ETH 3 of 5; BTC 2 of 2)</t>
        </is>
      </c>
      <c r="L35" s="17" t="n"/>
      <c r="M35" s="17" t="n"/>
      <c r="N35" s="17" t="inlineStr">
        <is>
          <t>QUAN-1050</t>
        </is>
      </c>
      <c r="O35" s="17" t="inlineStr">
        <is>
          <t>EXP-163-tier-nolow-nlxmacro-specv1.md</t>
        </is>
      </c>
    </row>
    <row r="36">
      <c r="A36" s="17" t="inlineStr">
        <is>
          <t>EXP-175</t>
        </is>
      </c>
      <c r="B36" s="17" t="inlineStr">
        <is>
          <t>v6.160</t>
        </is>
      </c>
      <c r="C36" s="17" t="inlineStr">
        <is>
          <t>通過（全歷史）</t>
        </is>
      </c>
      <c r="D36" s="17" t="inlineStr">
        <is>
          <t>是</t>
        </is>
      </c>
      <c r="E36" s="17" t="inlineStr">
        <is>
          <t>全歷史</t>
        </is>
      </c>
      <c r="F36" s="17" t="inlineStr">
        <is>
          <t>是</t>
        </is>
      </c>
      <c r="G36" s="17" t="inlineStr">
        <is>
          <t>費率分層：0.3% 池用 v6.75 + 回補低點下緣；較便宜的池只用 v6.75</t>
        </is>
      </c>
      <c r="H36" s="17" t="inlineStr">
        <is>
          <t>fee tier: v6.75 + refill-low lower edge on 0.3% pools; v6.75 on cheaper pools (v6.160)</t>
        </is>
      </c>
      <c r="I36" s="17" t="n"/>
      <c r="J36" s="17" t="inlineStr"/>
      <c r="K36" s="17" t="inlineStr">
        <is>
          <t>full-history 4/7 pools (ETH 3 of 5; BTC 1 of 2); WBTC/ETH win</t>
        </is>
      </c>
      <c r="L36" s="19" t="n">
        <v>0.151</v>
      </c>
      <c r="M36" s="19" t="n">
        <v>-0.235</v>
      </c>
      <c r="N36" s="17" t="inlineStr">
        <is>
          <t>QUAN-1081</t>
        </is>
      </c>
      <c r="O36" s="17" t="inlineStr">
        <is>
          <t>EXP-175-tier-rl-nolow.md</t>
        </is>
      </c>
    </row>
    <row r="38">
      <c r="A38" s="20" t="inlineStr">
        <is>
          <t>費率分層組合：0.3% 池與 0.05% 池各用一組規則</t>
        </is>
      </c>
    </row>
    <row r="39">
      <c r="A39" s="5" t="inlineStr">
        <is>
          <t>結論：23 個通過約等於 4 個發現；0.05% 那側都跑 v6.75</t>
        </is>
      </c>
    </row>
    <row r="40">
      <c r="A40" s="2" t="inlineStr">
        <is>
          <t>綠底 = 通過。ETH 連續 CAGR / 回撤是 registry 記錄的 ETH 連續回測；全歷史判定的逐池數字見各 EXP 文件。</t>
        </is>
      </c>
    </row>
  </sheetData>
  <autoFilter ref="A1:O36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EXP-117</t>
        </is>
      </c>
      <c r="B2" s="7" t="inlineStr">
        <is>
          <t>v6.104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LP擺在高費池，但重擺時的換幣改走較便宜的池子（低費池）以省成本</t>
        </is>
      </c>
      <c r="H2" s="7" t="inlineStr">
        <is>
          <t>LP in the 0.3% fee tier with rebuild swaps routed through the 0.05% tier (v6.104)</t>
        </is>
      </c>
      <c r="I2" s="16" t="n">
        <v>-0.43</v>
      </c>
      <c r="J2" s="7" t="inlineStr">
        <is>
          <t>2/5</t>
        </is>
      </c>
      <c r="K2" s="7" t="inlineStr"/>
      <c r="L2" s="10" t="n">
        <v>0.15</v>
      </c>
      <c r="M2" s="10" t="n">
        <v>-0.189</v>
      </c>
      <c r="N2" s="7" t="inlineStr">
        <is>
          <t>QUAN-1002</t>
        </is>
      </c>
      <c r="O2" s="7" t="inlineStr">
        <is>
          <t>EXP-117-lp-03-swap-005.md</t>
        </is>
      </c>
    </row>
    <row r="3">
      <c r="A3" s="17" t="inlineStr">
        <is>
          <t>EXP-123</t>
        </is>
      </c>
      <c r="B3" s="17" t="inlineStr">
        <is>
          <t>v6.110</t>
        </is>
      </c>
      <c r="C3" s="17" t="inlineStr">
        <is>
          <t>通過（holdout）</t>
        </is>
      </c>
      <c r="D3" s="17" t="inlineStr">
        <is>
          <t>是</t>
        </is>
      </c>
      <c r="E3" s="17" t="inlineStr">
        <is>
          <t>dev + holdout</t>
        </is>
      </c>
      <c r="F3" s="17" t="inlineStr">
        <is>
          <t>是</t>
        </is>
      </c>
      <c r="G3" s="17" t="inlineStr">
        <is>
          <t>跌破均線後分段補倉、創新低那天不補倉，且換幣改走較便宜的池子</t>
        </is>
      </c>
      <c r="H3" s="17" t="inlineStr">
        <is>
          <t>v6.75 plus cheapest-tier swap routing on every pool (v6.110)</t>
        </is>
      </c>
      <c r="I3" s="18" t="n">
        <v>0.47</v>
      </c>
      <c r="J3" s="17" t="inlineStr">
        <is>
          <t>4/5</t>
        </is>
      </c>
      <c r="K3" s="17" t="inlineStr">
        <is>
          <t>2/2 windows (time-split)</t>
        </is>
      </c>
      <c r="L3" s="19" t="n">
        <v>0.154</v>
      </c>
      <c r="M3" s="19" t="n">
        <v>-0.243</v>
      </c>
      <c r="N3" s="17" t="inlineStr">
        <is>
          <t>QUAN-1008</t>
        </is>
      </c>
      <c r="O3" s="17" t="inlineStr">
        <is>
          <t>EXP-123-nolow-route.md</t>
        </is>
      </c>
    </row>
    <row r="4">
      <c r="A4" s="7" t="inlineStr">
        <is>
          <t>EXP-128</t>
        </is>
      </c>
      <c r="B4" s="7" t="inlineStr">
        <is>
          <t>v6.104r</t>
        </is>
      </c>
      <c r="C4" s="7" t="inlineStr">
        <is>
          <t>開發完成，待前測</t>
        </is>
      </c>
      <c r="D4" s="7" t="inlineStr">
        <is>
          <t>否</t>
        </is>
      </c>
      <c r="E4" s="7" t="inlineStr">
        <is>
          <t>dev + holdout</t>
        </is>
      </c>
      <c r="F4" s="7" t="inlineStr">
        <is>
          <t>否</t>
        </is>
      </c>
      <c r="G4" s="7" t="inlineStr">
        <is>
          <t>LP擺在高費池、換幣改走較便宜的池子，單獨在 Base 池和最新資料上重新評估</t>
        </is>
      </c>
      <c r="H4" s="7" t="inlineStr">
        <is>
          <t>v6.104 (0.3% tier ladder + 0.05% swap route) judged standalone on Base and the forward window (v6.104r)</t>
        </is>
      </c>
      <c r="I4" s="7" t="n"/>
      <c r="J4" s="7" t="inlineStr">
        <is>
          <t>5/5 positive (EXP-117)</t>
        </is>
      </c>
      <c r="K4" s="7" t="inlineStr">
        <is>
          <t>H-a 1/1 (H-b pending)</t>
        </is>
      </c>
      <c r="L4" s="10" t="n">
        <v>0.15</v>
      </c>
      <c r="M4" s="10" t="n">
        <v>-0.189</v>
      </c>
      <c r="N4" s="7" t="inlineStr">
        <is>
          <t>QUAN-1013</t>
        </is>
      </c>
      <c r="O4" s="7" t="inlineStr">
        <is>
          <t>EXP-128-lp03-swap005-standalone.md</t>
        </is>
      </c>
    </row>
    <row r="6">
      <c r="A6" s="20" t="inlineStr">
        <is>
          <t>換匯路由：重建時的 swap 走哪個池</t>
        </is>
      </c>
    </row>
    <row r="7">
      <c r="A7" s="5" t="inlineStr">
        <is>
          <t>結論：swap 走 0.05% 池：WBTC 約 +1 pt</t>
        </is>
      </c>
    </row>
    <row r="8">
      <c r="A8" s="2" t="inlineStr">
        <is>
          <t>綠底 = 通過。ETH 連續 CAGR / 回撤是 registry 記錄的 ETH 連續回測；全歷史判定的逐池數字見各 EXP 文件。</t>
        </is>
      </c>
    </row>
  </sheetData>
  <autoFilter ref="A1:O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EXP-001</t>
        </is>
      </c>
      <c r="B2" s="7" t="inlineStr">
        <is>
          <t>v6.1</t>
        </is>
      </c>
      <c r="C2" s="7" t="inlineStr">
        <is>
          <t>開發期淘汰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現貨趨勢倉：F × 資產的一半改持現貨 ETH</t>
        </is>
      </c>
      <c r="H2" s="7" t="inlineStr">
        <is>
          <t>spot trend sleeve: half of F x equity as spot ETH (v6.1)</t>
        </is>
      </c>
      <c r="I2" s="16" t="n">
        <v>8.539999999999999</v>
      </c>
      <c r="J2" s="7" t="inlineStr">
        <is>
          <t>4/5</t>
        </is>
      </c>
      <c r="K2" s="7" t="inlineStr"/>
      <c r="L2" s="10" t="n">
        <v>0.261</v>
      </c>
      <c r="M2" s="10" t="n">
        <v>-0.336</v>
      </c>
      <c r="N2" s="7" t="inlineStr">
        <is>
          <t>QUAN-835</t>
        </is>
      </c>
      <c r="O2" s="7" t="inlineStr">
        <is>
          <t>EXP-001-spot-sleeve.md</t>
        </is>
      </c>
    </row>
    <row r="3">
      <c r="A3" s="7" t="inlineStr">
        <is>
          <t>EXP-002</t>
        </is>
      </c>
      <c r="B3" s="7" t="inlineStr">
        <is>
          <t>v6.2</t>
        </is>
      </c>
      <c r="C3" s="7" t="inlineStr">
        <is>
          <t>開發期淘汰</t>
        </is>
      </c>
      <c r="D3" s="7" t="inlineStr">
        <is>
          <t>否</t>
        </is>
      </c>
      <c r="E3" s="7" t="inlineStr">
        <is>
          <t>dev + holdout</t>
        </is>
      </c>
      <c r="F3" s="7" t="inlineStr">
        <is>
          <t>否</t>
        </is>
      </c>
      <c r="G3" s="7" t="inlineStr">
        <is>
          <t>現貨倉加 0.80 移動停損</t>
        </is>
      </c>
      <c r="H3" s="7" t="inlineStr">
        <is>
          <t>spot sleeve with a 0.80 trailing stop (v6.2)</t>
        </is>
      </c>
      <c r="I3" s="16" t="n">
        <v>10.67</v>
      </c>
      <c r="J3" s="7" t="inlineStr">
        <is>
          <t>4/5</t>
        </is>
      </c>
      <c r="K3" s="7" t="inlineStr"/>
      <c r="L3" s="10" t="n">
        <v>0.246</v>
      </c>
      <c r="M3" s="10" t="n">
        <v>-0.324</v>
      </c>
      <c r="N3" s="7" t="inlineStr">
        <is>
          <t>QUAN-836</t>
        </is>
      </c>
      <c r="O3" s="7" t="inlineStr">
        <is>
          <t>EXP-002-sleeve-trailing-stop.md</t>
        </is>
      </c>
    </row>
    <row r="4">
      <c r="A4" s="7" t="inlineStr">
        <is>
          <t>EXP-003</t>
        </is>
      </c>
      <c r="B4" s="7" t="inlineStr">
        <is>
          <t>v6.3</t>
        </is>
      </c>
      <c r="C4" s="7" t="inlineStr">
        <is>
          <t>開發期淘汰</t>
        </is>
      </c>
      <c r="D4" s="7" t="inlineStr">
        <is>
          <t>否</t>
        </is>
      </c>
      <c r="E4" s="7" t="inlineStr">
        <is>
          <t>dev + holdout</t>
        </is>
      </c>
      <c r="F4" s="7" t="inlineStr">
        <is>
          <t>否</t>
        </is>
      </c>
      <c r="G4" s="7" t="inlineStr">
        <is>
          <t>現貨倉的停損高點在重建後保留</t>
        </is>
      </c>
      <c r="H4" s="7" t="inlineStr">
        <is>
          <t>sleeve stop whose high survives rebuilds (v6.3)</t>
        </is>
      </c>
      <c r="I4" s="16" t="n">
        <v>10.67</v>
      </c>
      <c r="J4" s="7" t="inlineStr">
        <is>
          <t>4/5</t>
        </is>
      </c>
      <c r="K4" s="7" t="inlineStr"/>
      <c r="L4" s="10" t="n">
        <v>0.246</v>
      </c>
      <c r="M4" s="10" t="n">
        <v>-0.324</v>
      </c>
      <c r="N4" s="7" t="inlineStr">
        <is>
          <t>QUAN-837</t>
        </is>
      </c>
      <c r="O4" s="7" t="inlineStr">
        <is>
          <t>EXP-003-sleeve-stop-keep-high.md</t>
        </is>
      </c>
    </row>
    <row r="5">
      <c r="A5" s="17" t="inlineStr">
        <is>
          <t>EXP-004</t>
        </is>
      </c>
      <c r="B5" s="17" t="inlineStr">
        <is>
          <t>v6.4</t>
        </is>
      </c>
      <c r="C5" s="17" t="inlineStr">
        <is>
          <t>通過（holdout）</t>
        </is>
      </c>
      <c r="D5" s="17" t="inlineStr">
        <is>
          <t>是</t>
        </is>
      </c>
      <c r="E5" s="17" t="inlineStr">
        <is>
          <t>dev + holdout</t>
        </is>
      </c>
      <c r="F5" s="17" t="inlineStr">
        <is>
          <t>否</t>
        </is>
      </c>
      <c r="G5" s="17" t="inlineStr">
        <is>
          <t>閒置 USDC 賺 Aave 存款利率</t>
        </is>
      </c>
      <c r="H5" s="17" t="inlineStr">
        <is>
          <t>idle USDC earns the Aave supply rate (v6.4)</t>
        </is>
      </c>
      <c r="I5" s="18" t="n">
        <v>1.46</v>
      </c>
      <c r="J5" s="17" t="inlineStr">
        <is>
          <t>5/5</t>
        </is>
      </c>
      <c r="K5" s="17" t="inlineStr">
        <is>
          <t>3/3</t>
        </is>
      </c>
      <c r="L5" s="19" t="n">
        <v>0.16</v>
      </c>
      <c r="M5" s="19" t="n">
        <v>-0.207</v>
      </c>
      <c r="N5" s="17" t="inlineStr">
        <is>
          <t>QUAN-838</t>
        </is>
      </c>
      <c r="O5" s="17" t="inlineStr">
        <is>
          <t>EXP-004-idle-cash-yield.md</t>
        </is>
      </c>
    </row>
    <row r="6">
      <c r="A6" s="7" t="inlineStr">
        <is>
          <t>EXP-009</t>
        </is>
      </c>
      <c r="B6" s="7" t="inlineStr">
        <is>
          <t>v6.1r</t>
        </is>
      </c>
      <c r="C6" s="7" t="inlineStr">
        <is>
          <t>holdout 失敗</t>
        </is>
      </c>
      <c r="D6" s="7" t="inlineStr">
        <is>
          <t>否</t>
        </is>
      </c>
      <c r="E6" s="7" t="inlineStr">
        <is>
          <t>dev + holdout</t>
        </is>
      </c>
      <c r="F6" s="7" t="inlineStr">
        <is>
          <t>否</t>
        </is>
      </c>
      <c r="G6" s="7" t="inlineStr">
        <is>
          <t>v6.1 現貨倉改用 Calmar 規則重新判定</t>
        </is>
      </c>
      <c r="H6" s="7" t="inlineStr">
        <is>
          <t>v6.1 spot sleeve re-registered under a Calmar rule (v6.1r)</t>
        </is>
      </c>
      <c r="I6" s="16" t="n">
        <v>8.539999999999999</v>
      </c>
      <c r="J6" s="7" t="inlineStr">
        <is>
          <t>4/5</t>
        </is>
      </c>
      <c r="K6" s="7" t="inlineStr">
        <is>
          <t>0/4</t>
        </is>
      </c>
      <c r="L6" s="10" t="n">
        <v>0.261</v>
      </c>
      <c r="M6" s="10" t="n">
        <v>-0.336</v>
      </c>
      <c r="N6" s="7" t="inlineStr">
        <is>
          <t>QUAN-844</t>
        </is>
      </c>
      <c r="O6" s="7" t="inlineStr">
        <is>
          <t>EXP-009-spot-sleeve-calmar.md</t>
        </is>
      </c>
    </row>
    <row r="7">
      <c r="A7" s="7" t="inlineStr">
        <is>
          <t>EXP-014</t>
        </is>
      </c>
      <c r="B7" s="7" t="inlineStr">
        <is>
          <t>v6.11</t>
        </is>
      </c>
      <c r="C7" s="7" t="inlineStr">
        <is>
          <t>開發期淘汰</t>
        </is>
      </c>
      <c r="D7" s="7" t="inlineStr">
        <is>
          <t>否</t>
        </is>
      </c>
      <c r="E7" s="7" t="inlineStr">
        <is>
          <t>dev + holdout</t>
        </is>
      </c>
      <c r="F7" s="7" t="inlineStr">
        <is>
          <t>否</t>
        </is>
      </c>
      <c r="G7" s="7" t="inlineStr">
        <is>
          <t>部分永續對沖：在 Binance 空梯子 ETH delta 的 60%</t>
        </is>
      </c>
      <c r="H7" s="7" t="inlineStr">
        <is>
          <t>partial perp delta hedge: short 60% of the ladder ETH delta on Binance USDT-M (v6.11)</t>
        </is>
      </c>
      <c r="I7" s="16" t="n">
        <v>-12.85</v>
      </c>
      <c r="J7" s="7" t="inlineStr">
        <is>
          <t>0/5</t>
        </is>
      </c>
      <c r="K7" s="7" t="inlineStr"/>
      <c r="L7" s="10" t="n">
        <v>0.047</v>
      </c>
      <c r="M7" s="10" t="n">
        <v>-0.11</v>
      </c>
      <c r="N7" s="7" t="inlineStr">
        <is>
          <t>QUAN-860</t>
        </is>
      </c>
      <c r="O7" s="7" t="inlineStr">
        <is>
          <t>EXP-014-perp-delta-hedge.md</t>
        </is>
      </c>
    </row>
    <row r="8">
      <c r="A8" s="7" t="inlineStr">
        <is>
          <t>EXP-018</t>
        </is>
      </c>
      <c r="B8" s="7" t="inlineStr">
        <is>
          <t>v6.14</t>
        </is>
      </c>
      <c r="C8" s="7" t="inlineStr">
        <is>
          <t>holdout 失敗</t>
        </is>
      </c>
      <c r="D8" s="7" t="inlineStr">
        <is>
          <t>否</t>
        </is>
      </c>
      <c r="E8" s="7" t="inlineStr">
        <is>
          <t>dev + holdout</t>
        </is>
      </c>
      <c r="F8" s="7" t="inlineStr">
        <is>
          <t>否</t>
        </is>
      </c>
      <c r="G8" s="7" t="inlineStr">
        <is>
          <t>熊市空單：F = 0、低於所有 EMA 且 12 個月報酬 &lt; 0 時，空 0.5 × 資產的永續</t>
        </is>
      </c>
      <c r="H8" s="7" t="inlineStr">
        <is>
          <t>bear-phase short leg: short 0.5 x equity perp while F=0 below all EMAs and 12m return &lt; 0 (v6.14)</t>
        </is>
      </c>
      <c r="I8" s="16" t="n">
        <v>6.47</v>
      </c>
      <c r="J8" s="7" t="inlineStr">
        <is>
          <t>4/5</t>
        </is>
      </c>
      <c r="K8" s="7" t="inlineStr">
        <is>
          <t>1/2</t>
        </is>
      </c>
      <c r="L8" s="10" t="n">
        <v>0.28</v>
      </c>
      <c r="M8" s="10" t="n">
        <v>-0.234</v>
      </c>
      <c r="N8" s="7" t="inlineStr">
        <is>
          <t>QUAN-865</t>
        </is>
      </c>
      <c r="O8" s="7" t="inlineStr">
        <is>
          <t>EXP-018-bear-short-leg.md</t>
        </is>
      </c>
    </row>
    <row r="9">
      <c r="A9" s="17" t="inlineStr">
        <is>
          <t>EXP-019</t>
        </is>
      </c>
      <c r="B9" s="17" t="inlineStr">
        <is>
          <t>v6.15</t>
        </is>
      </c>
      <c r="C9" s="17" t="inlineStr">
        <is>
          <t>通過（holdout）</t>
        </is>
      </c>
      <c r="D9" s="17" t="inlineStr">
        <is>
          <t>是</t>
        </is>
      </c>
      <c r="E9" s="17" t="inlineStr">
        <is>
          <t>dev + holdout</t>
        </is>
      </c>
      <c r="F9" s="17" t="inlineStr">
        <is>
          <t>否</t>
        </is>
      </c>
      <c r="G9" s="17" t="inlineStr">
        <is>
          <t>熊市空單加閒置資金收益（v6.14 + v6.4）</t>
        </is>
      </c>
      <c r="H9" s="17" t="inlineStr">
        <is>
          <t>bear-phase short leg plus idle-cash yield (v6.14 + v6.4) on the Base USDC/WETH holdout (v6.15)</t>
        </is>
      </c>
      <c r="I9" s="18" t="n">
        <v>8.720000000000001</v>
      </c>
      <c r="J9" s="17" t="inlineStr">
        <is>
          <t>5/5</t>
        </is>
      </c>
      <c r="K9" s="17" t="inlineStr">
        <is>
          <t>3/3</t>
        </is>
      </c>
      <c r="L9" s="19" t="n">
        <v>0.301</v>
      </c>
      <c r="M9" s="19" t="n">
        <v>-0.213</v>
      </c>
      <c r="N9" s="17" t="inlineStr">
        <is>
          <t>QUAN-866</t>
        </is>
      </c>
      <c r="O9" s="17" t="inlineStr">
        <is>
          <t>EXP-019-bear-short-cash.md</t>
        </is>
      </c>
    </row>
    <row r="10">
      <c r="A10" s="7" t="inlineStr">
        <is>
          <t>EXP-020</t>
        </is>
      </c>
      <c r="B10" s="7" t="inlineStr">
        <is>
          <t>v6.16</t>
        </is>
      </c>
      <c r="C10" s="7" t="inlineStr">
        <is>
          <t>holdout 失敗</t>
        </is>
      </c>
      <c r="D10" s="7" t="inlineStr">
        <is>
          <t>否</t>
        </is>
      </c>
      <c r="E10" s="7" t="inlineStr">
        <is>
          <t>dev + holdout</t>
        </is>
      </c>
      <c r="F10" s="7" t="inlineStr">
        <is>
          <t>否</t>
        </is>
      </c>
      <c r="G10" s="7" t="inlineStr">
        <is>
          <t>熊市空單，但 2 sigma 暴跌日不進場；無閒置收益</t>
        </is>
      </c>
      <c r="H10" s="7" t="inlineStr">
        <is>
          <t>bear short leg without entries on 2-sigma crash days; no cash yield (v6.16)</t>
        </is>
      </c>
      <c r="I10" s="16" t="n">
        <v>5.45</v>
      </c>
      <c r="J10" s="7" t="inlineStr">
        <is>
          <t>4/5</t>
        </is>
      </c>
      <c r="K10" s="7" t="inlineStr">
        <is>
          <t>2/5</t>
        </is>
      </c>
      <c r="L10" s="10" t="n">
        <v>0.276</v>
      </c>
      <c r="M10" s="10" t="n">
        <v>-0.234</v>
      </c>
      <c r="N10" s="7" t="inlineStr">
        <is>
          <t>QUAN-871</t>
        </is>
      </c>
      <c r="O10" s="7" t="inlineStr">
        <is>
          <t>EXP-020-bear-short-no-crash-entry.md</t>
        </is>
      </c>
    </row>
    <row r="11">
      <c r="A11" s="7" t="inlineStr">
        <is>
          <t>EXP-021</t>
        </is>
      </c>
      <c r="B11" s="7" t="inlineStr">
        <is>
          <t>v6.16r</t>
        </is>
      </c>
      <c r="C11" s="7" t="inlineStr">
        <is>
          <t>holdout 失敗</t>
        </is>
      </c>
      <c r="D11" s="7" t="inlineStr">
        <is>
          <t>否</t>
        </is>
      </c>
      <c r="E11" s="7" t="inlineStr">
        <is>
          <t>dev + holdout</t>
        </is>
      </c>
      <c r="F11" s="7" t="inlineStr">
        <is>
          <t>否</t>
        </is>
      </c>
      <c r="G11" s="7" t="inlineStr">
        <is>
          <t>v6.16 在 LINK/WETH、UNI/WETH 新池重新判定</t>
        </is>
      </c>
      <c r="H11" s="7" t="inlineStr">
        <is>
          <t>v6.16 re-judged on fresh deep pools LINK/WETH and UNI/WETH (v6.16r)</t>
        </is>
      </c>
      <c r="I11" s="7" t="n"/>
      <c r="J11" s="7" t="inlineStr"/>
      <c r="K11" s="7" t="inlineStr">
        <is>
          <t>2/5 + 2/5</t>
        </is>
      </c>
      <c r="L11" s="7" t="n"/>
      <c r="M11" s="7" t="n"/>
      <c r="N11" s="7" t="inlineStr">
        <is>
          <t>QUAN-872</t>
        </is>
      </c>
      <c r="O11" s="7" t="inlineStr">
        <is>
          <t>EXP-021-bear-short-alt-eth-holdout.md</t>
        </is>
      </c>
    </row>
    <row r="12">
      <c r="A12" s="17" t="inlineStr">
        <is>
          <t>EXP-052</t>
        </is>
      </c>
      <c r="B12" s="17" t="inlineStr">
        <is>
          <t>v6.39</t>
        </is>
      </c>
      <c r="C12" s="17" t="inlineStr">
        <is>
          <t>通過（holdout）</t>
        </is>
      </c>
      <c r="D12" s="17" t="inlineStr">
        <is>
          <t>是</t>
        </is>
      </c>
      <c r="E12" s="17" t="inlineStr">
        <is>
          <t>dev + holdout</t>
        </is>
      </c>
      <c r="F12" s="17" t="inlineStr">
        <is>
          <t>否</t>
        </is>
      </c>
      <c r="G12" s="17" t="inlineStr">
        <is>
          <t>沒部署進區間的閒置資金，拿去USDC/USDT穩定幣池做LP賺手續費</t>
        </is>
      </c>
      <c r="H12" s="17" t="inlineStr">
        <is>
          <t>idle reserve LP'd in the Uniswap USDC/USDT pool ±0.1% (v6.39)</t>
        </is>
      </c>
      <c r="I12" s="18" t="n">
        <v>0.71</v>
      </c>
      <c r="J12" s="17" t="inlineStr">
        <is>
          <t>5/5</t>
        </is>
      </c>
      <c r="K12" s="17" t="inlineStr">
        <is>
          <t>2/2 windows (time-split)</t>
        </is>
      </c>
      <c r="L12" s="19" t="n">
        <v>0.145</v>
      </c>
      <c r="M12" s="19" t="n">
        <v>-0.222</v>
      </c>
      <c r="N12" s="17" t="inlineStr">
        <is>
          <t>QUAN-933</t>
        </is>
      </c>
      <c r="O12" s="17" t="inlineStr">
        <is>
          <t>EXP-052-stable-lp-reserve.md</t>
        </is>
      </c>
    </row>
    <row r="13">
      <c r="A13" s="7" t="inlineStr">
        <is>
          <t>EXP-133</t>
        </is>
      </c>
      <c r="B13" s="7" t="inlineStr">
        <is>
          <t>v6.119</t>
        </is>
      </c>
      <c r="C13" s="7" t="inlineStr">
        <is>
          <t>開發期淘汰</t>
        </is>
      </c>
      <c r="D13" s="7" t="inlineStr">
        <is>
          <t>否</t>
        </is>
      </c>
      <c r="E13" s="7" t="inlineStr">
        <is>
          <t>dev + holdout</t>
        </is>
      </c>
      <c r="F13" s="7" t="inlineStr">
        <is>
          <t>否</t>
        </is>
      </c>
      <c r="G13" s="7" t="inlineStr">
        <is>
          <t>沒部署的閒置資金做基差交易（買現貨、空永續合約）賺資金費率</t>
        </is>
      </c>
      <c r="H13" s="7" t="inlineStr">
        <is>
          <t>idle reserve held as a basis trade (spot + short USDT-M perp) earning funding (v6.119)</t>
        </is>
      </c>
      <c r="I13" s="16" t="n">
        <v>-0.03</v>
      </c>
      <c r="J13" s="7" t="inlineStr">
        <is>
          <t>2/5</t>
        </is>
      </c>
      <c r="K13" s="7" t="inlineStr"/>
      <c r="L13" s="10" t="n">
        <v>0.138</v>
      </c>
      <c r="M13" s="10" t="n">
        <v>-0.23</v>
      </c>
      <c r="N13" s="7" t="inlineStr">
        <is>
          <t>QUAN-1018</t>
        </is>
      </c>
      <c r="O13" s="7" t="inlineStr">
        <is>
          <t>EXP-133-basis-reserve.md</t>
        </is>
      </c>
    </row>
    <row r="15">
      <c r="A15" s="20" t="inlineStr">
        <is>
          <t>非 LP 本體：現貨、永續空單、閒置資金收益（依規則不算改進）</t>
        </is>
      </c>
    </row>
    <row r="16">
      <c r="A16" s="5" t="inlineStr">
        <is>
          <t>結論：範圍外：閒置收益不算改進（2026-10-05 裁定），2026-10-01 起只做純 LP</t>
        </is>
      </c>
    </row>
    <row r="17">
      <c r="A17" s="2" t="inlineStr">
        <is>
          <t>綠底 = 通過。ETH 連續 CAGR / 回撤是 registry 記錄的 ETH 連續回測；全歷史判定的逐池數字見各 EXP 文件。</t>
        </is>
      </c>
    </row>
  </sheetData>
  <autoFilter ref="A1:O13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6" customWidth="1" min="4" max="4"/>
    <col width="13" customWidth="1" min="5" max="5"/>
    <col width="8" customWidth="1" min="6" max="6"/>
    <col width="46" customWidth="1" min="7" max="7"/>
    <col width="46" customWidth="1" min="8" max="8"/>
    <col width="11" customWidth="1" min="9" max="9"/>
    <col width="9" customWidth="1" min="10" max="10"/>
    <col width="32" customWidth="1" min="11" max="11"/>
    <col width="10" customWidth="1" min="12" max="12"/>
    <col width="10" customWidth="1" min="13" max="13"/>
    <col width="11" customWidth="1" min="14" max="14"/>
    <col width="30" customWidth="1" min="15" max="15"/>
  </cols>
  <sheetData>
    <row r="1">
      <c r="A1" s="6" t="inlineStr">
        <is>
          <t>EXP</t>
        </is>
      </c>
      <c r="B1" s="6" t="inlineStr">
        <is>
          <t>版本</t>
        </is>
      </c>
      <c r="C1" s="6" t="inlineStr">
        <is>
          <t>狀態</t>
        </is>
      </c>
      <c r="D1" s="6" t="inlineStr">
        <is>
          <t>通過</t>
        </is>
      </c>
      <c r="E1" s="6" t="inlineStr">
        <is>
          <t>判定規則</t>
        </is>
      </c>
      <c r="F1" s="6" t="inlineStr">
        <is>
          <t>含 v6.75</t>
        </is>
      </c>
      <c r="G1" s="6" t="inlineStr">
        <is>
          <t>說明（中文）</t>
        </is>
      </c>
      <c r="H1" s="6" t="inlineStr">
        <is>
          <t>原始名稱（registry）</t>
        </is>
      </c>
      <c r="I1" s="6" t="inlineStr">
        <is>
          <t>開發期中位數增益（pt）</t>
        </is>
      </c>
      <c r="J1" s="6" t="inlineStr">
        <is>
          <t>開發期勝</t>
        </is>
      </c>
      <c r="K1" s="6" t="inlineStr">
        <is>
          <t>holdout / 全歷史結果</t>
        </is>
      </c>
      <c r="L1" s="6" t="inlineStr">
        <is>
          <t>ETH 連續 CAGR</t>
        </is>
      </c>
      <c r="M1" s="6" t="inlineStr">
        <is>
          <t>ETH 連續最大回撤</t>
        </is>
      </c>
      <c r="N1" s="6" t="inlineStr">
        <is>
          <t>Jira</t>
        </is>
      </c>
      <c r="O1" s="6" t="inlineStr">
        <is>
          <t>文件</t>
        </is>
      </c>
    </row>
    <row r="2">
      <c r="A2" s="7" t="inlineStr">
        <is>
          <t>EXP-008</t>
        </is>
      </c>
      <c r="B2" s="7" t="inlineStr">
        <is>
          <t>v6.8</t>
        </is>
      </c>
      <c r="C2" s="7" t="inlineStr">
        <is>
          <t>開發完成，待前測</t>
        </is>
      </c>
      <c r="D2" s="7" t="inlineStr">
        <is>
          <t>否</t>
        </is>
      </c>
      <c r="E2" s="7" t="inlineStr">
        <is>
          <t>dev + holdout</t>
        </is>
      </c>
      <c r="F2" s="7" t="inlineStr">
        <is>
          <t>否</t>
        </is>
      </c>
      <c r="G2" s="7" t="inlineStr">
        <is>
          <t>ETH 與 BTC 各半的 v6 組合</t>
        </is>
      </c>
      <c r="H2" s="7" t="inlineStr">
        <is>
          <t>v6 on ETH and BTC as one 50/50 portfolio (v6.8)</t>
        </is>
      </c>
      <c r="I2" s="7" t="n"/>
      <c r="J2" s="7" t="inlineStr"/>
      <c r="K2" s="7" t="inlineStr"/>
      <c r="L2" s="7" t="n"/>
      <c r="M2" s="7" t="n"/>
      <c r="N2" s="7" t="inlineStr">
        <is>
          <t>QUAN-842</t>
        </is>
      </c>
      <c r="O2" s="7" t="inlineStr">
        <is>
          <t>EXP-008-eth-btc-portfolio.md</t>
        </is>
      </c>
    </row>
    <row r="3">
      <c r="A3" s="17" t="inlineStr">
        <is>
          <t>EXP-011</t>
        </is>
      </c>
      <c r="B3" s="17" t="inlineStr"/>
      <c r="C3" s="17" t="inlineStr">
        <is>
          <t>通過（holdout）</t>
        </is>
      </c>
      <c r="D3" s="17" t="inlineStr">
        <is>
          <t>是</t>
        </is>
      </c>
      <c r="E3" s="17" t="inlineStr">
        <is>
          <t>dev + holdout</t>
        </is>
      </c>
      <c r="F3" s="17" t="inlineStr">
        <is>
          <t>否</t>
        </is>
      </c>
      <c r="G3" s="17" t="inlineStr">
        <is>
          <t>v6 與 v6.4 在 Base cbBTC 池驗證（上線條件 5）</t>
        </is>
      </c>
      <c r="H3" s="17" t="inlineStr">
        <is>
          <t>v6 and v6.4 on the Base cbBTC pool (go-live condition 5)</t>
        </is>
      </c>
      <c r="I3" s="17" t="n"/>
      <c r="J3" s="17" t="inlineStr"/>
      <c r="K3" s="17" t="inlineStr">
        <is>
          <t>2/2</t>
        </is>
      </c>
      <c r="L3" s="17" t="n"/>
      <c r="M3" s="17" t="n"/>
      <c r="N3" s="17" t="inlineStr">
        <is>
          <t>QUAN-859</t>
        </is>
      </c>
      <c r="O3" s="17" t="inlineStr">
        <is>
          <t>EXP-011-base-cbbtc.md</t>
        </is>
      </c>
    </row>
    <row r="4">
      <c r="A4" s="7" t="inlineStr">
        <is>
          <t>EXP-015</t>
        </is>
      </c>
      <c r="B4" s="7" t="inlineStr">
        <is>
          <t>v6.12</t>
        </is>
      </c>
      <c r="C4" s="7" t="inlineStr">
        <is>
          <t>失敗（全歷史）</t>
        </is>
      </c>
      <c r="D4" s="7" t="inlineStr">
        <is>
          <t>否</t>
        </is>
      </c>
      <c r="E4" s="7" t="inlineStr">
        <is>
          <t>dev + holdout</t>
        </is>
      </c>
      <c r="F4" s="7" t="inlineStr">
        <is>
          <t>否</t>
        </is>
      </c>
      <c r="G4" s="7" t="inlineStr">
        <is>
          <t>v6 跑 Base WETH/USDC 0.3%，並估算 0.05% / 0.3% 輪換</t>
        </is>
      </c>
      <c r="H4" s="7" t="inlineStr">
        <is>
          <t>fee tier: v6 on Base WETH/USDC 0.3% and a 0.05%/0.3% rotation estimate (v6.12)</t>
        </is>
      </c>
      <c r="I4" s="16" t="n">
        <v>-2.45</v>
      </c>
      <c r="J4" s="7" t="inlineStr">
        <is>
          <t>0/3</t>
        </is>
      </c>
      <c r="K4" s="7" t="inlineStr"/>
      <c r="L4" s="7" t="n"/>
      <c r="M4" s="7" t="n"/>
      <c r="N4" s="7" t="inlineStr">
        <is>
          <t>QUAN-861</t>
        </is>
      </c>
      <c r="O4" s="7" t="inlineStr">
        <is>
          <t>EXP-015-fee-tier-rotation.md</t>
        </is>
      </c>
    </row>
    <row r="5">
      <c r="A5" s="7" t="inlineStr">
        <is>
          <t>EXP-156</t>
        </is>
      </c>
      <c r="B5" s="7" t="inlineStr"/>
      <c r="C5" s="7" t="inlineStr">
        <is>
          <t>失敗（全歷史）</t>
        </is>
      </c>
      <c r="D5" s="7" t="inlineStr">
        <is>
          <t>否</t>
        </is>
      </c>
      <c r="E5" s="7" t="inlineStr">
        <is>
          <t>全歷史</t>
        </is>
      </c>
      <c r="F5" s="7" t="inlineStr">
        <is>
          <t>否</t>
        </is>
      </c>
      <c r="G5" s="7" t="inlineStr">
        <is>
          <t>把 EXP-140 的規則改用新基準 spec v1（幣安日收盤、固定0.1%成本）重跑</t>
        </is>
      </c>
      <c r="H5" s="7" t="inlineStr">
        <is>
          <t>spec sheet v1 as the baseline; v6.126 (EXP-140) re-run on spec v1 settings (v6.126 on spec v1)</t>
        </is>
      </c>
      <c r="I5" s="16" t="n">
        <v>0.8</v>
      </c>
      <c r="J5" s="7" t="inlineStr">
        <is>
          <t>3/4 (sheet window yearly)</t>
        </is>
      </c>
      <c r="K5" s="7" t="inlineStr">
        <is>
          <t>full-history 3/7 pools (ETH 1 of 5; BTC 2 of 2)</t>
        </is>
      </c>
      <c r="L5" s="10" t="n">
        <v>0.186</v>
      </c>
      <c r="M5" s="10" t="n">
        <v>-0.276</v>
      </c>
      <c r="N5" s="7" t="inlineStr">
        <is>
          <t>QUAN-1041</t>
        </is>
      </c>
      <c r="O5" s="7" t="inlineStr">
        <is>
          <t>EXP-156-v6126-on-spec-v1.md</t>
        </is>
      </c>
    </row>
    <row r="7">
      <c r="A7" s="20" t="inlineStr">
        <is>
          <t>驗證 / 移植：換池子、換基準、組合，不改策略</t>
        </is>
      </c>
    </row>
    <row r="8">
      <c r="A8" s="5" t="inlineStr">
        <is>
          <t>結論：不是策略改動</t>
        </is>
      </c>
    </row>
    <row r="9">
      <c r="A9" s="2" t="inlineStr">
        <is>
          <t>綠底 = 通過。ETH 連續 CAGR / 回撤是 registry 記錄的 ETH 連續回測；全歷史判定的逐池數字見各 EXP 文件。</t>
        </is>
      </c>
    </row>
  </sheetData>
  <autoFilter ref="A1:O5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2026-10-12T04:30:45Z</dcterms:created>
  <dcterms:modified xsi:type="dcterms:W3CDTF">2026-10-12T04:30:45Z</dcterms:modified>
</cp:coreProperties>
</file>